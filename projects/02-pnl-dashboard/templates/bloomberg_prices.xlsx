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MTM" sheetId="1" state="visible" r:id="rId1"/>
    <sheet name="Static" sheetId="2" state="visible" r:id="rId2"/>
    <sheet name="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BBG Ticker</t>
        </is>
      </c>
      <c r="B1" s="1" t="inlineStr">
        <is>
          <t>Last Price (PX_LAST)</t>
        </is>
      </c>
      <c r="C1" s="1" t="inlineStr">
        <is>
          <t>ASW Spread</t>
        </is>
      </c>
      <c r="D1" s="1" t="inlineStr">
        <is>
          <t>YTM (Mid)</t>
        </is>
      </c>
    </row>
    <row r="2">
      <c r="B2">
        <f>BDP(A2,"PX_LAST")</f>
        <v/>
      </c>
      <c r="C2">
        <f>BDP(A2,"YAS_ASW_SPREAD")</f>
        <v/>
      </c>
      <c r="D2">
        <f>BDP(A2,"YLD_YTM_MID")</f>
        <v/>
      </c>
    </row>
    <row r="3">
      <c r="B3">
        <f>BDP(A3,"PX_LAST")</f>
        <v/>
      </c>
      <c r="C3">
        <f>BDP(A3,"YAS_ASW_SPREAD")</f>
        <v/>
      </c>
      <c r="D3">
        <f>BDP(A3,"YLD_YTM_MID")</f>
        <v/>
      </c>
    </row>
    <row r="4">
      <c r="B4">
        <f>BDP(A4,"PX_LAST")</f>
        <v/>
      </c>
      <c r="C4">
        <f>BDP(A4,"YAS_ASW_SPREAD")</f>
        <v/>
      </c>
      <c r="D4">
        <f>BDP(A4,"YLD_YTM_MID")</f>
        <v/>
      </c>
    </row>
    <row r="5">
      <c r="B5">
        <f>BDP(A5,"PX_LAST")</f>
        <v/>
      </c>
      <c r="C5">
        <f>BDP(A5,"YAS_ASW_SPREAD")</f>
        <v/>
      </c>
      <c r="D5">
        <f>BDP(A5,"YLD_YTM_MID")</f>
        <v/>
      </c>
    </row>
    <row r="6">
      <c r="B6">
        <f>BDP(A6,"PX_LAST")</f>
        <v/>
      </c>
      <c r="C6">
        <f>BDP(A6,"YAS_ASW_SPREAD")</f>
        <v/>
      </c>
      <c r="D6">
        <f>BDP(A6,"YLD_YTM_MID")</f>
        <v/>
      </c>
    </row>
    <row r="7">
      <c r="B7">
        <f>BDP(A7,"PX_LAST")</f>
        <v/>
      </c>
      <c r="C7">
        <f>BDP(A7,"YAS_ASW_SPREAD")</f>
        <v/>
      </c>
      <c r="D7">
        <f>BDP(A7,"YLD_YTM_MID")</f>
        <v/>
      </c>
    </row>
    <row r="8">
      <c r="B8">
        <f>BDP(A8,"PX_LAST")</f>
        <v/>
      </c>
      <c r="C8">
        <f>BDP(A8,"YAS_ASW_SPREAD")</f>
        <v/>
      </c>
      <c r="D8">
        <f>BDP(A8,"YLD_YTM_MID")</f>
        <v/>
      </c>
    </row>
    <row r="9">
      <c r="B9">
        <f>BDP(A9,"PX_LAST")</f>
        <v/>
      </c>
      <c r="C9">
        <f>BDP(A9,"YAS_ASW_SPREAD")</f>
        <v/>
      </c>
      <c r="D9">
        <f>BDP(A9,"YLD_YTM_MID")</f>
        <v/>
      </c>
    </row>
    <row r="10">
      <c r="B10">
        <f>BDP(A10,"PX_LAST")</f>
        <v/>
      </c>
      <c r="C10">
        <f>BDP(A10,"YAS_ASW_SPREAD")</f>
        <v/>
      </c>
      <c r="D10">
        <f>BDP(A10,"YLD_YTM_MID")</f>
        <v/>
      </c>
    </row>
    <row r="11">
      <c r="B11">
        <f>BDP(A11,"PX_LAST")</f>
        <v/>
      </c>
      <c r="C11">
        <f>BDP(A11,"YAS_ASW_SPREAD")</f>
        <v/>
      </c>
      <c r="D11">
        <f>BDP(A11,"YLD_YTM_MID")</f>
        <v/>
      </c>
    </row>
    <row r="12">
      <c r="B12">
        <f>BDP(A12,"PX_LAST")</f>
        <v/>
      </c>
      <c r="C12">
        <f>BDP(A12,"YAS_ASW_SPREAD")</f>
        <v/>
      </c>
      <c r="D12">
        <f>BDP(A12,"YLD_YTM_MID")</f>
        <v/>
      </c>
    </row>
    <row r="13">
      <c r="B13">
        <f>BDP(A13,"PX_LAST")</f>
        <v/>
      </c>
      <c r="C13">
        <f>BDP(A13,"YAS_ASW_SPREAD")</f>
        <v/>
      </c>
      <c r="D13">
        <f>BDP(A13,"YLD_YTM_MID")</f>
        <v/>
      </c>
    </row>
    <row r="14">
      <c r="B14">
        <f>BDP(A14,"PX_LAST")</f>
        <v/>
      </c>
      <c r="C14">
        <f>BDP(A14,"YAS_ASW_SPREAD")</f>
        <v/>
      </c>
      <c r="D14">
        <f>BDP(A14,"YLD_YTM_MID")</f>
        <v/>
      </c>
    </row>
    <row r="15">
      <c r="B15">
        <f>BDP(A15,"PX_LAST")</f>
        <v/>
      </c>
      <c r="C15">
        <f>BDP(A15,"YAS_ASW_SPREAD")</f>
        <v/>
      </c>
      <c r="D15">
        <f>BDP(A15,"YLD_YTM_MID")</f>
        <v/>
      </c>
    </row>
    <row r="16">
      <c r="B16">
        <f>BDP(A16,"PX_LAST")</f>
        <v/>
      </c>
      <c r="C16">
        <f>BDP(A16,"YAS_ASW_SPREAD")</f>
        <v/>
      </c>
      <c r="D16">
        <f>BDP(A16,"YLD_YTM_MID")</f>
        <v/>
      </c>
    </row>
    <row r="17">
      <c r="B17">
        <f>BDP(A17,"PX_LAST")</f>
        <v/>
      </c>
      <c r="C17">
        <f>BDP(A17,"YAS_ASW_SPREAD")</f>
        <v/>
      </c>
      <c r="D17">
        <f>BDP(A17,"YLD_YTM_MID")</f>
        <v/>
      </c>
    </row>
    <row r="18">
      <c r="B18">
        <f>BDP(A18,"PX_LAST")</f>
        <v/>
      </c>
      <c r="C18">
        <f>BDP(A18,"YAS_ASW_SPREAD")</f>
        <v/>
      </c>
      <c r="D18">
        <f>BDP(A18,"YLD_YTM_MID")</f>
        <v/>
      </c>
    </row>
    <row r="19">
      <c r="B19">
        <f>BDP(A19,"PX_LAST")</f>
        <v/>
      </c>
      <c r="C19">
        <f>BDP(A19,"YAS_ASW_SPREAD")</f>
        <v/>
      </c>
      <c r="D19">
        <f>BDP(A19,"YLD_YTM_MID")</f>
        <v/>
      </c>
    </row>
    <row r="20">
      <c r="B20">
        <f>BDP(A20,"PX_LAST")</f>
        <v/>
      </c>
      <c r="C20">
        <f>BDP(A20,"YAS_ASW_SPREAD")</f>
        <v/>
      </c>
      <c r="D20">
        <f>BDP(A20,"YLD_YTM_MID")</f>
        <v/>
      </c>
    </row>
    <row r="21">
      <c r="B21">
        <f>BDP(A21,"PX_LAST")</f>
        <v/>
      </c>
      <c r="C21">
        <f>BDP(A21,"YAS_ASW_SPREAD")</f>
        <v/>
      </c>
      <c r="D21">
        <f>BDP(A21,"YLD_YTM_MID")</f>
        <v/>
      </c>
    </row>
    <row r="22">
      <c r="B22">
        <f>BDP(A22,"PX_LAST")</f>
        <v/>
      </c>
      <c r="C22">
        <f>BDP(A22,"YAS_ASW_SPREAD")</f>
        <v/>
      </c>
      <c r="D22">
        <f>BDP(A22,"YLD_YTM_MID")</f>
        <v/>
      </c>
    </row>
    <row r="23">
      <c r="B23">
        <f>BDP(A23,"PX_LAST")</f>
        <v/>
      </c>
      <c r="C23">
        <f>BDP(A23,"YAS_ASW_SPREAD")</f>
        <v/>
      </c>
      <c r="D23">
        <f>BDP(A23,"YLD_YTM_MID")</f>
        <v/>
      </c>
    </row>
    <row r="24">
      <c r="B24">
        <f>BDP(A24,"PX_LAST")</f>
        <v/>
      </c>
      <c r="C24">
        <f>BDP(A24,"YAS_ASW_SPREAD")</f>
        <v/>
      </c>
      <c r="D24">
        <f>BDP(A24,"YLD_YTM_MID")</f>
        <v/>
      </c>
    </row>
    <row r="25">
      <c r="B25">
        <f>BDP(A25,"PX_LAST")</f>
        <v/>
      </c>
      <c r="C25">
        <f>BDP(A25,"YAS_ASW_SPREAD")</f>
        <v/>
      </c>
      <c r="D25">
        <f>BDP(A25,"YLD_YTM_MID")</f>
        <v/>
      </c>
    </row>
    <row r="26">
      <c r="B26">
        <f>BDP(A26,"PX_LAST")</f>
        <v/>
      </c>
      <c r="C26">
        <f>BDP(A26,"YAS_ASW_SPREAD")</f>
        <v/>
      </c>
      <c r="D26">
        <f>BDP(A26,"YLD_YTM_MID")</f>
        <v/>
      </c>
    </row>
    <row r="27">
      <c r="B27">
        <f>BDP(A27,"PX_LAST")</f>
        <v/>
      </c>
      <c r="C27">
        <f>BDP(A27,"YAS_ASW_SPREAD")</f>
        <v/>
      </c>
      <c r="D27">
        <f>BDP(A27,"YLD_YTM_MID")</f>
        <v/>
      </c>
    </row>
    <row r="28">
      <c r="B28">
        <f>BDP(A28,"PX_LAST")</f>
        <v/>
      </c>
      <c r="C28">
        <f>BDP(A28,"YAS_ASW_SPREAD")</f>
        <v/>
      </c>
      <c r="D28">
        <f>BDP(A28,"YLD_YTM_MID")</f>
        <v/>
      </c>
    </row>
    <row r="29">
      <c r="B29">
        <f>BDP(A29,"PX_LAST")</f>
        <v/>
      </c>
      <c r="C29">
        <f>BDP(A29,"YAS_ASW_SPREAD")</f>
        <v/>
      </c>
      <c r="D29">
        <f>BDP(A29,"YLD_YTM_MID")</f>
        <v/>
      </c>
    </row>
    <row r="30">
      <c r="B30">
        <f>BDP(A30,"PX_LAST")</f>
        <v/>
      </c>
      <c r="C30">
        <f>BDP(A30,"YAS_ASW_SPREAD")</f>
        <v/>
      </c>
      <c r="D30">
        <f>BDP(A30,"YLD_YTM_MID")</f>
        <v/>
      </c>
    </row>
    <row r="31">
      <c r="B31">
        <f>BDP(A31,"PX_LAST")</f>
        <v/>
      </c>
      <c r="C31">
        <f>BDP(A31,"YAS_ASW_SPREAD")</f>
        <v/>
      </c>
      <c r="D31">
        <f>BDP(A31,"YLD_YTM_MID")</f>
        <v/>
      </c>
    </row>
    <row r="32">
      <c r="B32">
        <f>BDP(A32,"PX_LAST")</f>
        <v/>
      </c>
      <c r="C32">
        <f>BDP(A32,"YAS_ASW_SPREAD")</f>
        <v/>
      </c>
      <c r="D32">
        <f>BDP(A32,"YLD_YTM_MID")</f>
        <v/>
      </c>
    </row>
    <row r="33">
      <c r="B33">
        <f>BDP(A33,"PX_LAST")</f>
        <v/>
      </c>
      <c r="C33">
        <f>BDP(A33,"YAS_ASW_SPREAD")</f>
        <v/>
      </c>
      <c r="D33">
        <f>BDP(A33,"YLD_YTM_MID")</f>
        <v/>
      </c>
    </row>
    <row r="34">
      <c r="B34">
        <f>BDP(A34,"PX_LAST")</f>
        <v/>
      </c>
      <c r="C34">
        <f>BDP(A34,"YAS_ASW_SPREAD")</f>
        <v/>
      </c>
      <c r="D34">
        <f>BDP(A34,"YLD_YTM_MID")</f>
        <v/>
      </c>
    </row>
    <row r="35">
      <c r="B35">
        <f>BDP(A35,"PX_LAST")</f>
        <v/>
      </c>
      <c r="C35">
        <f>BDP(A35,"YAS_ASW_SPREAD")</f>
        <v/>
      </c>
      <c r="D35">
        <f>BDP(A35,"YLD_YTM_MID")</f>
        <v/>
      </c>
    </row>
    <row r="36">
      <c r="B36">
        <f>BDP(A36,"PX_LAST")</f>
        <v/>
      </c>
      <c r="C36">
        <f>BDP(A36,"YAS_ASW_SPREAD")</f>
        <v/>
      </c>
      <c r="D36">
        <f>BDP(A36,"YLD_YTM_MID")</f>
        <v/>
      </c>
    </row>
    <row r="37">
      <c r="B37">
        <f>BDP(A37,"PX_LAST")</f>
        <v/>
      </c>
      <c r="C37">
        <f>BDP(A37,"YAS_ASW_SPREAD")</f>
        <v/>
      </c>
      <c r="D37">
        <f>BDP(A37,"YLD_YTM_MID")</f>
        <v/>
      </c>
    </row>
    <row r="38">
      <c r="B38">
        <f>BDP(A38,"PX_LAST")</f>
        <v/>
      </c>
      <c r="C38">
        <f>BDP(A38,"YAS_ASW_SPREAD")</f>
        <v/>
      </c>
      <c r="D38">
        <f>BDP(A38,"YLD_YTM_MID")</f>
        <v/>
      </c>
    </row>
    <row r="39">
      <c r="B39">
        <f>BDP(A39,"PX_LAST")</f>
        <v/>
      </c>
      <c r="C39">
        <f>BDP(A39,"YAS_ASW_SPREAD")</f>
        <v/>
      </c>
      <c r="D39">
        <f>BDP(A39,"YLD_YTM_MID")</f>
        <v/>
      </c>
    </row>
    <row r="40">
      <c r="B40">
        <f>BDP(A40,"PX_LAST")</f>
        <v/>
      </c>
      <c r="C40">
        <f>BDP(A40,"YAS_ASW_SPREAD")</f>
        <v/>
      </c>
      <c r="D40">
        <f>BDP(A40,"YLD_YTM_MID")</f>
        <v/>
      </c>
    </row>
    <row r="41">
      <c r="B41">
        <f>BDP(A41,"PX_LAST")</f>
        <v/>
      </c>
      <c r="C41">
        <f>BDP(A41,"YAS_ASW_SPREAD")</f>
        <v/>
      </c>
      <c r="D41">
        <f>BDP(A41,"YLD_YTM_MID")</f>
        <v/>
      </c>
    </row>
    <row r="42">
      <c r="B42">
        <f>BDP(A42,"PX_LAST")</f>
        <v/>
      </c>
      <c r="C42">
        <f>BDP(A42,"YAS_ASW_SPREAD")</f>
        <v/>
      </c>
      <c r="D42">
        <f>BDP(A42,"YLD_YTM_MID")</f>
        <v/>
      </c>
    </row>
    <row r="43">
      <c r="B43">
        <f>BDP(A43,"PX_LAST")</f>
        <v/>
      </c>
      <c r="C43">
        <f>BDP(A43,"YAS_ASW_SPREAD")</f>
        <v/>
      </c>
      <c r="D43">
        <f>BDP(A43,"YLD_YTM_MID")</f>
        <v/>
      </c>
    </row>
    <row r="44">
      <c r="B44">
        <f>BDP(A44,"PX_LAST")</f>
        <v/>
      </c>
      <c r="C44">
        <f>BDP(A44,"YAS_ASW_SPREAD")</f>
        <v/>
      </c>
      <c r="D44">
        <f>BDP(A44,"YLD_YTM_MID")</f>
        <v/>
      </c>
    </row>
    <row r="45">
      <c r="B45">
        <f>BDP(A45,"PX_LAST")</f>
        <v/>
      </c>
      <c r="C45">
        <f>BDP(A45,"YAS_ASW_SPREAD")</f>
        <v/>
      </c>
      <c r="D45">
        <f>BDP(A45,"YLD_YTM_MID")</f>
        <v/>
      </c>
    </row>
    <row r="46">
      <c r="B46">
        <f>BDP(A46,"PX_LAST")</f>
        <v/>
      </c>
      <c r="C46">
        <f>BDP(A46,"YAS_ASW_SPREAD")</f>
        <v/>
      </c>
      <c r="D46">
        <f>BDP(A46,"YLD_YTM_MID")</f>
        <v/>
      </c>
    </row>
    <row r="47">
      <c r="B47">
        <f>BDP(A47,"PX_LAST")</f>
        <v/>
      </c>
      <c r="C47">
        <f>BDP(A47,"YAS_ASW_SPREAD")</f>
        <v/>
      </c>
      <c r="D47">
        <f>BDP(A47,"YLD_YTM_MID")</f>
        <v/>
      </c>
    </row>
    <row r="48">
      <c r="B48">
        <f>BDP(A48,"PX_LAST")</f>
        <v/>
      </c>
      <c r="C48">
        <f>BDP(A48,"YAS_ASW_SPREAD")</f>
        <v/>
      </c>
      <c r="D48">
        <f>BDP(A48,"YLD_YTM_MID")</f>
        <v/>
      </c>
    </row>
    <row r="49">
      <c r="B49">
        <f>BDP(A49,"PX_LAST")</f>
        <v/>
      </c>
      <c r="C49">
        <f>BDP(A49,"YAS_ASW_SPREAD")</f>
        <v/>
      </c>
      <c r="D49">
        <f>BDP(A49,"YLD_YTM_MID")</f>
        <v/>
      </c>
    </row>
    <row r="50">
      <c r="B50">
        <f>BDP(A50,"PX_LAST")</f>
        <v/>
      </c>
      <c r="C50">
        <f>BDP(A50,"YAS_ASW_SPREAD")</f>
        <v/>
      </c>
      <c r="D50">
        <f>BDP(A50,"YLD_YTM_MID")</f>
        <v/>
      </c>
    </row>
    <row r="51">
      <c r="B51">
        <f>BDP(A51,"PX_LAST")</f>
        <v/>
      </c>
      <c r="C51">
        <f>BDP(A51,"YAS_ASW_SPREAD")</f>
        <v/>
      </c>
      <c r="D51">
        <f>BDP(A51,"YLD_YTM_MID")</f>
        <v/>
      </c>
    </row>
    <row r="52">
      <c r="B52">
        <f>BDP(A52,"PX_LAST")</f>
        <v/>
      </c>
      <c r="C52">
        <f>BDP(A52,"YAS_ASW_SPREAD")</f>
        <v/>
      </c>
      <c r="D52">
        <f>BDP(A52,"YLD_YTM_MID")</f>
        <v/>
      </c>
    </row>
    <row r="53">
      <c r="B53">
        <f>BDP(A53,"PX_LAST")</f>
        <v/>
      </c>
      <c r="C53">
        <f>BDP(A53,"YAS_ASW_SPREAD")</f>
        <v/>
      </c>
      <c r="D53">
        <f>BDP(A53,"YLD_YTM_MID")</f>
        <v/>
      </c>
    </row>
    <row r="54">
      <c r="B54">
        <f>BDP(A54,"PX_LAST")</f>
        <v/>
      </c>
      <c r="C54">
        <f>BDP(A54,"YAS_ASW_SPREAD")</f>
        <v/>
      </c>
      <c r="D54">
        <f>BDP(A54,"YLD_YTM_MID")</f>
        <v/>
      </c>
    </row>
    <row r="55">
      <c r="B55">
        <f>BDP(A55,"PX_LAST")</f>
        <v/>
      </c>
      <c r="C55">
        <f>BDP(A55,"YAS_ASW_SPREAD")</f>
        <v/>
      </c>
      <c r="D55">
        <f>BDP(A55,"YLD_YTM_MID")</f>
        <v/>
      </c>
    </row>
    <row r="56">
      <c r="B56">
        <f>BDP(A56,"PX_LAST")</f>
        <v/>
      </c>
      <c r="C56">
        <f>BDP(A56,"YAS_ASW_SPREAD")</f>
        <v/>
      </c>
      <c r="D56">
        <f>BDP(A56,"YLD_YTM_MID")</f>
        <v/>
      </c>
    </row>
    <row r="57">
      <c r="B57">
        <f>BDP(A57,"PX_LAST")</f>
        <v/>
      </c>
      <c r="C57">
        <f>BDP(A57,"YAS_ASW_SPREAD")</f>
        <v/>
      </c>
      <c r="D57">
        <f>BDP(A57,"YLD_YTM_MID")</f>
        <v/>
      </c>
    </row>
    <row r="58">
      <c r="B58">
        <f>BDP(A58,"PX_LAST")</f>
        <v/>
      </c>
      <c r="C58">
        <f>BDP(A58,"YAS_ASW_SPREAD")</f>
        <v/>
      </c>
      <c r="D58">
        <f>BDP(A58,"YLD_YTM_MID")</f>
        <v/>
      </c>
    </row>
    <row r="59">
      <c r="B59">
        <f>BDP(A59,"PX_LAST")</f>
        <v/>
      </c>
      <c r="C59">
        <f>BDP(A59,"YAS_ASW_SPREAD")</f>
        <v/>
      </c>
      <c r="D59">
        <f>BDP(A59,"YLD_YTM_MID")</f>
        <v/>
      </c>
    </row>
    <row r="60">
      <c r="B60">
        <f>BDP(A60,"PX_LAST")</f>
        <v/>
      </c>
      <c r="C60">
        <f>BDP(A60,"YAS_ASW_SPREAD")</f>
        <v/>
      </c>
      <c r="D60">
        <f>BDP(A60,"YLD_YTM_MID")</f>
        <v/>
      </c>
    </row>
    <row r="61">
      <c r="B61">
        <f>BDP(A61,"PX_LAST")</f>
        <v/>
      </c>
      <c r="C61">
        <f>BDP(A61,"YAS_ASW_SPREAD")</f>
        <v/>
      </c>
      <c r="D61">
        <f>BDP(A61,"YLD_YTM_MID")</f>
        <v/>
      </c>
    </row>
    <row r="62">
      <c r="B62">
        <f>BDP(A62,"PX_LAST")</f>
        <v/>
      </c>
      <c r="C62">
        <f>BDP(A62,"YAS_ASW_SPREAD")</f>
        <v/>
      </c>
      <c r="D62">
        <f>BDP(A62,"YLD_YTM_MID")</f>
        <v/>
      </c>
    </row>
    <row r="63">
      <c r="B63">
        <f>BDP(A63,"PX_LAST")</f>
        <v/>
      </c>
      <c r="C63">
        <f>BDP(A63,"YAS_ASW_SPREAD")</f>
        <v/>
      </c>
      <c r="D63">
        <f>BDP(A63,"YLD_YTM_MID")</f>
        <v/>
      </c>
    </row>
    <row r="64">
      <c r="B64">
        <f>BDP(A64,"PX_LAST")</f>
        <v/>
      </c>
      <c r="C64">
        <f>BDP(A64,"YAS_ASW_SPREAD")</f>
        <v/>
      </c>
      <c r="D64">
        <f>BDP(A64,"YLD_YTM_MID")</f>
        <v/>
      </c>
    </row>
    <row r="65">
      <c r="B65">
        <f>BDP(A65,"PX_LAST")</f>
        <v/>
      </c>
      <c r="C65">
        <f>BDP(A65,"YAS_ASW_SPREAD")</f>
        <v/>
      </c>
      <c r="D65">
        <f>BDP(A65,"YLD_YTM_MID")</f>
        <v/>
      </c>
    </row>
    <row r="66">
      <c r="B66">
        <f>BDP(A66,"PX_LAST")</f>
        <v/>
      </c>
      <c r="C66">
        <f>BDP(A66,"YAS_ASW_SPREAD")</f>
        <v/>
      </c>
      <c r="D66">
        <f>BDP(A66,"YLD_YTM_MID")</f>
        <v/>
      </c>
    </row>
    <row r="67">
      <c r="B67">
        <f>BDP(A67,"PX_LAST")</f>
        <v/>
      </c>
      <c r="C67">
        <f>BDP(A67,"YAS_ASW_SPREAD")</f>
        <v/>
      </c>
      <c r="D67">
        <f>BDP(A67,"YLD_YTM_MID")</f>
        <v/>
      </c>
    </row>
    <row r="68">
      <c r="B68">
        <f>BDP(A68,"PX_LAST")</f>
        <v/>
      </c>
      <c r="C68">
        <f>BDP(A68,"YAS_ASW_SPREAD")</f>
        <v/>
      </c>
      <c r="D68">
        <f>BDP(A68,"YLD_YTM_MID")</f>
        <v/>
      </c>
    </row>
    <row r="69">
      <c r="B69">
        <f>BDP(A69,"PX_LAST")</f>
        <v/>
      </c>
      <c r="C69">
        <f>BDP(A69,"YAS_ASW_SPREAD")</f>
        <v/>
      </c>
      <c r="D69">
        <f>BDP(A69,"YLD_YTM_MID")</f>
        <v/>
      </c>
    </row>
    <row r="70">
      <c r="B70">
        <f>BDP(A70,"PX_LAST")</f>
        <v/>
      </c>
      <c r="C70">
        <f>BDP(A70,"YAS_ASW_SPREAD")</f>
        <v/>
      </c>
      <c r="D70">
        <f>BDP(A70,"YLD_YTM_MID")</f>
        <v/>
      </c>
    </row>
    <row r="71">
      <c r="B71">
        <f>BDP(A71,"PX_LAST")</f>
        <v/>
      </c>
      <c r="C71">
        <f>BDP(A71,"YAS_ASW_SPREAD")</f>
        <v/>
      </c>
      <c r="D71">
        <f>BDP(A71,"YLD_YTM_MID")</f>
        <v/>
      </c>
    </row>
    <row r="72">
      <c r="B72">
        <f>BDP(A72,"PX_LAST")</f>
        <v/>
      </c>
      <c r="C72">
        <f>BDP(A72,"YAS_ASW_SPREAD")</f>
        <v/>
      </c>
      <c r="D72">
        <f>BDP(A72,"YLD_YTM_MID")</f>
        <v/>
      </c>
    </row>
    <row r="73">
      <c r="B73">
        <f>BDP(A73,"PX_LAST")</f>
        <v/>
      </c>
      <c r="C73">
        <f>BDP(A73,"YAS_ASW_SPREAD")</f>
        <v/>
      </c>
      <c r="D73">
        <f>BDP(A73,"YLD_YTM_MID")</f>
        <v/>
      </c>
    </row>
    <row r="74">
      <c r="B74">
        <f>BDP(A74,"PX_LAST")</f>
        <v/>
      </c>
      <c r="C74">
        <f>BDP(A74,"YAS_ASW_SPREAD")</f>
        <v/>
      </c>
      <c r="D74">
        <f>BDP(A74,"YLD_YTM_MID")</f>
        <v/>
      </c>
    </row>
    <row r="75">
      <c r="B75">
        <f>BDP(A75,"PX_LAST")</f>
        <v/>
      </c>
      <c r="C75">
        <f>BDP(A75,"YAS_ASW_SPREAD")</f>
        <v/>
      </c>
      <c r="D75">
        <f>BDP(A75,"YLD_YTM_MID")</f>
        <v/>
      </c>
    </row>
    <row r="76">
      <c r="B76">
        <f>BDP(A76,"PX_LAST")</f>
        <v/>
      </c>
      <c r="C76">
        <f>BDP(A76,"YAS_ASW_SPREAD")</f>
        <v/>
      </c>
      <c r="D76">
        <f>BDP(A76,"YLD_YTM_MID")</f>
        <v/>
      </c>
    </row>
    <row r="77">
      <c r="B77">
        <f>BDP(A77,"PX_LAST")</f>
        <v/>
      </c>
      <c r="C77">
        <f>BDP(A77,"YAS_ASW_SPREAD")</f>
        <v/>
      </c>
      <c r="D77">
        <f>BDP(A77,"YLD_YTM_MID")</f>
        <v/>
      </c>
    </row>
    <row r="78">
      <c r="B78">
        <f>BDP(A78,"PX_LAST")</f>
        <v/>
      </c>
      <c r="C78">
        <f>BDP(A78,"YAS_ASW_SPREAD")</f>
        <v/>
      </c>
      <c r="D78">
        <f>BDP(A78,"YLD_YTM_MID")</f>
        <v/>
      </c>
    </row>
    <row r="79">
      <c r="B79">
        <f>BDP(A79,"PX_LAST")</f>
        <v/>
      </c>
      <c r="C79">
        <f>BDP(A79,"YAS_ASW_SPREAD")</f>
        <v/>
      </c>
      <c r="D79">
        <f>BDP(A79,"YLD_YTM_MID")</f>
        <v/>
      </c>
    </row>
    <row r="80">
      <c r="B80">
        <f>BDP(A80,"PX_LAST")</f>
        <v/>
      </c>
      <c r="C80">
        <f>BDP(A80,"YAS_ASW_SPREAD")</f>
        <v/>
      </c>
      <c r="D80">
        <f>BDP(A80,"YLD_YTM_MID")</f>
        <v/>
      </c>
    </row>
    <row r="81">
      <c r="B81">
        <f>BDP(A81,"PX_LAST")</f>
        <v/>
      </c>
      <c r="C81">
        <f>BDP(A81,"YAS_ASW_SPREAD")</f>
        <v/>
      </c>
      <c r="D81">
        <f>BDP(A81,"YLD_YTM_MID")</f>
        <v/>
      </c>
    </row>
    <row r="82">
      <c r="B82">
        <f>BDP(A82,"PX_LAST")</f>
        <v/>
      </c>
      <c r="C82">
        <f>BDP(A82,"YAS_ASW_SPREAD")</f>
        <v/>
      </c>
      <c r="D82">
        <f>BDP(A82,"YLD_YTM_MID")</f>
        <v/>
      </c>
    </row>
    <row r="83">
      <c r="B83">
        <f>BDP(A83,"PX_LAST")</f>
        <v/>
      </c>
      <c r="C83">
        <f>BDP(A83,"YAS_ASW_SPREAD")</f>
        <v/>
      </c>
      <c r="D83">
        <f>BDP(A83,"YLD_YTM_MID")</f>
        <v/>
      </c>
    </row>
    <row r="84">
      <c r="B84">
        <f>BDP(A84,"PX_LAST")</f>
        <v/>
      </c>
      <c r="C84">
        <f>BDP(A84,"YAS_ASW_SPREAD")</f>
        <v/>
      </c>
      <c r="D84">
        <f>BDP(A84,"YLD_YTM_MID")</f>
        <v/>
      </c>
    </row>
    <row r="85">
      <c r="B85">
        <f>BDP(A85,"PX_LAST")</f>
        <v/>
      </c>
      <c r="C85">
        <f>BDP(A85,"YAS_ASW_SPREAD")</f>
        <v/>
      </c>
      <c r="D85">
        <f>BDP(A85,"YLD_YTM_MID")</f>
        <v/>
      </c>
    </row>
    <row r="86">
      <c r="B86">
        <f>BDP(A86,"PX_LAST")</f>
        <v/>
      </c>
      <c r="C86">
        <f>BDP(A86,"YAS_ASW_SPREAD")</f>
        <v/>
      </c>
      <c r="D86">
        <f>BDP(A86,"YLD_YTM_MID")</f>
        <v/>
      </c>
    </row>
    <row r="87">
      <c r="B87">
        <f>BDP(A87,"PX_LAST")</f>
        <v/>
      </c>
      <c r="C87">
        <f>BDP(A87,"YAS_ASW_SPREAD")</f>
        <v/>
      </c>
      <c r="D87">
        <f>BDP(A87,"YLD_YTM_MID")</f>
        <v/>
      </c>
    </row>
    <row r="88">
      <c r="B88">
        <f>BDP(A88,"PX_LAST")</f>
        <v/>
      </c>
      <c r="C88">
        <f>BDP(A88,"YAS_ASW_SPREAD")</f>
        <v/>
      </c>
      <c r="D88">
        <f>BDP(A88,"YLD_YTM_MID")</f>
        <v/>
      </c>
    </row>
    <row r="89">
      <c r="B89">
        <f>BDP(A89,"PX_LAST")</f>
        <v/>
      </c>
      <c r="C89">
        <f>BDP(A89,"YAS_ASW_SPREAD")</f>
        <v/>
      </c>
      <c r="D89">
        <f>BDP(A89,"YLD_YTM_MID")</f>
        <v/>
      </c>
    </row>
    <row r="90">
      <c r="B90">
        <f>BDP(A90,"PX_LAST")</f>
        <v/>
      </c>
      <c r="C90">
        <f>BDP(A90,"YAS_ASW_SPREAD")</f>
        <v/>
      </c>
      <c r="D90">
        <f>BDP(A90,"YLD_YTM_MID")</f>
        <v/>
      </c>
    </row>
    <row r="91">
      <c r="B91">
        <f>BDP(A91,"PX_LAST")</f>
        <v/>
      </c>
      <c r="C91">
        <f>BDP(A91,"YAS_ASW_SPREAD")</f>
        <v/>
      </c>
      <c r="D91">
        <f>BDP(A91,"YLD_YTM_MID")</f>
        <v/>
      </c>
    </row>
    <row r="92">
      <c r="B92">
        <f>BDP(A92,"PX_LAST")</f>
        <v/>
      </c>
      <c r="C92">
        <f>BDP(A92,"YAS_ASW_SPREAD")</f>
        <v/>
      </c>
      <c r="D92">
        <f>BDP(A92,"YLD_YTM_MID")</f>
        <v/>
      </c>
    </row>
    <row r="93">
      <c r="B93">
        <f>BDP(A93,"PX_LAST")</f>
        <v/>
      </c>
      <c r="C93">
        <f>BDP(A93,"YAS_ASW_SPREAD")</f>
        <v/>
      </c>
      <c r="D93">
        <f>BDP(A93,"YLD_YTM_MID")</f>
        <v/>
      </c>
    </row>
    <row r="94">
      <c r="B94">
        <f>BDP(A94,"PX_LAST")</f>
        <v/>
      </c>
      <c r="C94">
        <f>BDP(A94,"YAS_ASW_SPREAD")</f>
        <v/>
      </c>
      <c r="D94">
        <f>BDP(A94,"YLD_YTM_MID")</f>
        <v/>
      </c>
    </row>
    <row r="95">
      <c r="B95">
        <f>BDP(A95,"PX_LAST")</f>
        <v/>
      </c>
      <c r="C95">
        <f>BDP(A95,"YAS_ASW_SPREAD")</f>
        <v/>
      </c>
      <c r="D95">
        <f>BDP(A95,"YLD_YTM_MID")</f>
        <v/>
      </c>
    </row>
    <row r="96">
      <c r="B96">
        <f>BDP(A96,"PX_LAST")</f>
        <v/>
      </c>
      <c r="C96">
        <f>BDP(A96,"YAS_ASW_SPREAD")</f>
        <v/>
      </c>
      <c r="D96">
        <f>BDP(A96,"YLD_YTM_MID")</f>
        <v/>
      </c>
    </row>
    <row r="97">
      <c r="B97">
        <f>BDP(A97,"PX_LAST")</f>
        <v/>
      </c>
      <c r="C97">
        <f>BDP(A97,"YAS_ASW_SPREAD")</f>
        <v/>
      </c>
      <c r="D97">
        <f>BDP(A97,"YLD_YTM_MID")</f>
        <v/>
      </c>
    </row>
    <row r="98">
      <c r="B98">
        <f>BDP(A98,"PX_LAST")</f>
        <v/>
      </c>
      <c r="C98">
        <f>BDP(A98,"YAS_ASW_SPREAD")</f>
        <v/>
      </c>
      <c r="D98">
        <f>BDP(A98,"YLD_YTM_MID")</f>
        <v/>
      </c>
    </row>
    <row r="99">
      <c r="B99">
        <f>BDP(A99,"PX_LAST")</f>
        <v/>
      </c>
      <c r="C99">
        <f>BDP(A99,"YAS_ASW_SPREAD")</f>
        <v/>
      </c>
      <c r="D99">
        <f>BDP(A99,"YLD_YTM_MID")</f>
        <v/>
      </c>
    </row>
    <row r="100">
      <c r="B100">
        <f>BDP(A100,"PX_LAST")</f>
        <v/>
      </c>
      <c r="C100">
        <f>BDP(A100,"YAS_ASW_SPREAD")</f>
        <v/>
      </c>
      <c r="D100">
        <f>BDP(A100,"YLD_YTM_MID")</f>
        <v/>
      </c>
    </row>
    <row r="101">
      <c r="B101">
        <f>BDP(A101,"PX_LAST")</f>
        <v/>
      </c>
      <c r="C101">
        <f>BDP(A101,"YAS_ASW_SPREAD")</f>
        <v/>
      </c>
      <c r="D101">
        <f>BDP(A101,"YLD_YTM_MID")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bbg_ticker</t>
        </is>
      </c>
      <c r="B1" s="1" t="inlineStr">
        <is>
          <t>name</t>
        </is>
      </c>
      <c r="C1" s="1" t="inlineStr">
        <is>
          <t>currency</t>
        </is>
      </c>
      <c r="D1" s="1" t="inlineStr">
        <is>
          <t>country</t>
        </is>
      </c>
      <c r="E1" s="1" t="inlineStr">
        <is>
          <t>coupon_rate</t>
        </is>
      </c>
      <c r="F1" s="1" t="inlineStr">
        <is>
          <t>coupon_frequency</t>
        </is>
      </c>
      <c r="G1" s="1" t="inlineStr">
        <is>
          <t>day_count_convention</t>
        </is>
      </c>
      <c r="H1" s="1" t="inlineStr">
        <is>
          <t>maturity_date</t>
        </is>
      </c>
      <c r="I1" s="1" t="inlineStr">
        <is>
          <t>first_coupon_date</t>
        </is>
      </c>
      <c r="J1" s="1" t="inlineStr">
        <is>
          <t>isin</t>
        </is>
      </c>
      <c r="K1" s="1" t="inlineStr">
        <is>
          <t>instrument_type</t>
        </is>
      </c>
      <c r="L1" s="1" t="inlineStr">
        <is>
          <t>issuer</t>
        </is>
      </c>
      <c r="M1" s="1" t="inlineStr">
        <is>
          <t>country_of_risk</t>
        </is>
      </c>
      <c r="N1" s="1" t="inlineStr">
        <is>
          <t>sector</t>
        </is>
      </c>
      <c r="O1" s="1" t="inlineStr">
        <is>
          <t>seniority</t>
        </is>
      </c>
      <c r="P1" s="1" t="inlineStr">
        <is>
          <t>market</t>
        </is>
      </c>
      <c r="Q1" s="1" t="inlineStr">
        <is>
          <t>rating_sp</t>
        </is>
      </c>
      <c r="R1" s="1" t="inlineStr">
        <is>
          <t>rating_moody</t>
        </is>
      </c>
      <c r="S1" s="1" t="inlineStr">
        <is>
          <t>rating_fitch</t>
        </is>
      </c>
    </row>
    <row r="2">
      <c r="B2">
        <f>BDP(A2,"SECURITY_DES")</f>
        <v/>
      </c>
      <c r="C2">
        <f>BDP(A2,"CRNCY")</f>
        <v/>
      </c>
      <c r="D2">
        <f>BDP(A2,"CNTRY_OF_RISK")</f>
        <v/>
      </c>
      <c r="E2">
        <f>BDP(A2,"CPN")/100</f>
        <v/>
      </c>
      <c r="F2">
        <f>BDP(A2,"CPN_FREQ")</f>
        <v/>
      </c>
      <c r="G2">
        <f>BDP(A2,"DAY_CNT_DES")</f>
        <v/>
      </c>
      <c r="H2">
        <f>BDP(A2,"MATURITY")</f>
        <v/>
      </c>
      <c r="I2">
        <f>BDP(A2,"FIRST_CPN_DT")</f>
        <v/>
      </c>
      <c r="J2">
        <f>BDP(A2,"ID_ISIN")</f>
        <v/>
      </c>
      <c r="K2">
        <f>BDP(A2,"MARKET_SECTOR_DES")</f>
        <v/>
      </c>
      <c r="L2">
        <f>BDP(A2,"ISSUER")</f>
        <v/>
      </c>
      <c r="M2">
        <f>BDP(A2,"CNTRY_OF_RISK")</f>
        <v/>
      </c>
      <c r="N2">
        <f>BDP(A2,"INDUSTRY_SECTOR")</f>
        <v/>
      </c>
      <c r="O2">
        <f>BDP(A2,"PAYMENT_RANK")</f>
        <v/>
      </c>
      <c r="Q2">
        <f>BDP(A2,"RTG_SP")</f>
        <v/>
      </c>
      <c r="R2">
        <f>BDP(A2,"RTG_MOODY")</f>
        <v/>
      </c>
      <c r="S2">
        <f>BDP(A2,"RTG_FITCH")</f>
        <v/>
      </c>
    </row>
    <row r="3">
      <c r="B3">
        <f>BDP(A3,"SECURITY_DES")</f>
        <v/>
      </c>
      <c r="C3">
        <f>BDP(A3,"CRNCY")</f>
        <v/>
      </c>
      <c r="D3">
        <f>BDP(A3,"CNTRY_OF_RISK")</f>
        <v/>
      </c>
      <c r="E3">
        <f>BDP(A3,"CPN")/100</f>
        <v/>
      </c>
      <c r="F3">
        <f>BDP(A3,"CPN_FREQ")</f>
        <v/>
      </c>
      <c r="G3">
        <f>BDP(A3,"DAY_CNT_DES")</f>
        <v/>
      </c>
      <c r="H3">
        <f>BDP(A3,"MATURITY")</f>
        <v/>
      </c>
      <c r="I3">
        <f>BDP(A3,"FIRST_CPN_DT")</f>
        <v/>
      </c>
      <c r="J3">
        <f>BDP(A3,"ID_ISIN")</f>
        <v/>
      </c>
      <c r="K3">
        <f>BDP(A3,"MARKET_SECTOR_DES")</f>
        <v/>
      </c>
      <c r="L3">
        <f>BDP(A3,"ISSUER")</f>
        <v/>
      </c>
      <c r="M3">
        <f>BDP(A3,"CNTRY_OF_RISK")</f>
        <v/>
      </c>
      <c r="N3">
        <f>BDP(A3,"INDUSTRY_SECTOR")</f>
        <v/>
      </c>
      <c r="O3">
        <f>BDP(A3,"PAYMENT_RANK")</f>
        <v/>
      </c>
      <c r="Q3">
        <f>BDP(A3,"RTG_SP")</f>
        <v/>
      </c>
      <c r="R3">
        <f>BDP(A3,"RTG_MOODY")</f>
        <v/>
      </c>
      <c r="S3">
        <f>BDP(A3,"RTG_FITCH")</f>
        <v/>
      </c>
    </row>
    <row r="4">
      <c r="B4">
        <f>BDP(A4,"SECURITY_DES")</f>
        <v/>
      </c>
      <c r="C4">
        <f>BDP(A4,"CRNCY")</f>
        <v/>
      </c>
      <c r="D4">
        <f>BDP(A4,"CNTRY_OF_RISK")</f>
        <v/>
      </c>
      <c r="E4">
        <f>BDP(A4,"CPN")/100</f>
        <v/>
      </c>
      <c r="F4">
        <f>BDP(A4,"CPN_FREQ")</f>
        <v/>
      </c>
      <c r="G4">
        <f>BDP(A4,"DAY_CNT_DES")</f>
        <v/>
      </c>
      <c r="H4">
        <f>BDP(A4,"MATURITY")</f>
        <v/>
      </c>
      <c r="I4">
        <f>BDP(A4,"FIRST_CPN_DT")</f>
        <v/>
      </c>
      <c r="J4">
        <f>BDP(A4,"ID_ISIN")</f>
        <v/>
      </c>
      <c r="K4">
        <f>BDP(A4,"MARKET_SECTOR_DES")</f>
        <v/>
      </c>
      <c r="L4">
        <f>BDP(A4,"ISSUER")</f>
        <v/>
      </c>
      <c r="M4">
        <f>BDP(A4,"CNTRY_OF_RISK")</f>
        <v/>
      </c>
      <c r="N4">
        <f>BDP(A4,"INDUSTRY_SECTOR")</f>
        <v/>
      </c>
      <c r="O4">
        <f>BDP(A4,"PAYMENT_RANK")</f>
        <v/>
      </c>
      <c r="Q4">
        <f>BDP(A4,"RTG_SP")</f>
        <v/>
      </c>
      <c r="R4">
        <f>BDP(A4,"RTG_MOODY")</f>
        <v/>
      </c>
      <c r="S4">
        <f>BDP(A4,"RTG_FITCH")</f>
        <v/>
      </c>
    </row>
    <row r="5">
      <c r="B5">
        <f>BDP(A5,"SECURITY_DES")</f>
        <v/>
      </c>
      <c r="C5">
        <f>BDP(A5,"CRNCY")</f>
        <v/>
      </c>
      <c r="D5">
        <f>BDP(A5,"CNTRY_OF_RISK")</f>
        <v/>
      </c>
      <c r="E5">
        <f>BDP(A5,"CPN")/100</f>
        <v/>
      </c>
      <c r="F5">
        <f>BDP(A5,"CPN_FREQ")</f>
        <v/>
      </c>
      <c r="G5">
        <f>BDP(A5,"DAY_CNT_DES")</f>
        <v/>
      </c>
      <c r="H5">
        <f>BDP(A5,"MATURITY")</f>
        <v/>
      </c>
      <c r="I5">
        <f>BDP(A5,"FIRST_CPN_DT")</f>
        <v/>
      </c>
      <c r="J5">
        <f>BDP(A5,"ID_ISIN")</f>
        <v/>
      </c>
      <c r="K5">
        <f>BDP(A5,"MARKET_SECTOR_DES")</f>
        <v/>
      </c>
      <c r="L5">
        <f>BDP(A5,"ISSUER")</f>
        <v/>
      </c>
      <c r="M5">
        <f>BDP(A5,"CNTRY_OF_RISK")</f>
        <v/>
      </c>
      <c r="N5">
        <f>BDP(A5,"INDUSTRY_SECTOR")</f>
        <v/>
      </c>
      <c r="O5">
        <f>BDP(A5,"PAYMENT_RANK")</f>
        <v/>
      </c>
      <c r="Q5">
        <f>BDP(A5,"RTG_SP")</f>
        <v/>
      </c>
      <c r="R5">
        <f>BDP(A5,"RTG_MOODY")</f>
        <v/>
      </c>
      <c r="S5">
        <f>BDP(A5,"RTG_FITCH")</f>
        <v/>
      </c>
    </row>
    <row r="6">
      <c r="B6">
        <f>BDP(A6,"SECURITY_DES")</f>
        <v/>
      </c>
      <c r="C6">
        <f>BDP(A6,"CRNCY")</f>
        <v/>
      </c>
      <c r="D6">
        <f>BDP(A6,"CNTRY_OF_RISK")</f>
        <v/>
      </c>
      <c r="E6">
        <f>BDP(A6,"CPN")/100</f>
        <v/>
      </c>
      <c r="F6">
        <f>BDP(A6,"CPN_FREQ")</f>
        <v/>
      </c>
      <c r="G6">
        <f>BDP(A6,"DAY_CNT_DES")</f>
        <v/>
      </c>
      <c r="H6">
        <f>BDP(A6,"MATURITY")</f>
        <v/>
      </c>
      <c r="I6">
        <f>BDP(A6,"FIRST_CPN_DT")</f>
        <v/>
      </c>
      <c r="J6">
        <f>BDP(A6,"ID_ISIN")</f>
        <v/>
      </c>
      <c r="K6">
        <f>BDP(A6,"MARKET_SECTOR_DES")</f>
        <v/>
      </c>
      <c r="L6">
        <f>BDP(A6,"ISSUER")</f>
        <v/>
      </c>
      <c r="M6">
        <f>BDP(A6,"CNTRY_OF_RISK")</f>
        <v/>
      </c>
      <c r="N6">
        <f>BDP(A6,"INDUSTRY_SECTOR")</f>
        <v/>
      </c>
      <c r="O6">
        <f>BDP(A6,"PAYMENT_RANK")</f>
        <v/>
      </c>
      <c r="Q6">
        <f>BDP(A6,"RTG_SP")</f>
        <v/>
      </c>
      <c r="R6">
        <f>BDP(A6,"RTG_MOODY")</f>
        <v/>
      </c>
      <c r="S6">
        <f>BDP(A6,"RTG_FITCH")</f>
        <v/>
      </c>
    </row>
    <row r="7">
      <c r="B7">
        <f>BDP(A7,"SECURITY_DES")</f>
        <v/>
      </c>
      <c r="C7">
        <f>BDP(A7,"CRNCY")</f>
        <v/>
      </c>
      <c r="D7">
        <f>BDP(A7,"CNTRY_OF_RISK")</f>
        <v/>
      </c>
      <c r="E7">
        <f>BDP(A7,"CPN")/100</f>
        <v/>
      </c>
      <c r="F7">
        <f>BDP(A7,"CPN_FREQ")</f>
        <v/>
      </c>
      <c r="G7">
        <f>BDP(A7,"DAY_CNT_DES")</f>
        <v/>
      </c>
      <c r="H7">
        <f>BDP(A7,"MATURITY")</f>
        <v/>
      </c>
      <c r="I7">
        <f>BDP(A7,"FIRST_CPN_DT")</f>
        <v/>
      </c>
      <c r="J7">
        <f>BDP(A7,"ID_ISIN")</f>
        <v/>
      </c>
      <c r="K7">
        <f>BDP(A7,"MARKET_SECTOR_DES")</f>
        <v/>
      </c>
      <c r="L7">
        <f>BDP(A7,"ISSUER")</f>
        <v/>
      </c>
      <c r="M7">
        <f>BDP(A7,"CNTRY_OF_RISK")</f>
        <v/>
      </c>
      <c r="N7">
        <f>BDP(A7,"INDUSTRY_SECTOR")</f>
        <v/>
      </c>
      <c r="O7">
        <f>BDP(A7,"PAYMENT_RANK")</f>
        <v/>
      </c>
      <c r="Q7">
        <f>BDP(A7,"RTG_SP")</f>
        <v/>
      </c>
      <c r="R7">
        <f>BDP(A7,"RTG_MOODY")</f>
        <v/>
      </c>
      <c r="S7">
        <f>BDP(A7,"RTG_FITCH")</f>
        <v/>
      </c>
    </row>
    <row r="8">
      <c r="B8">
        <f>BDP(A8,"SECURITY_DES")</f>
        <v/>
      </c>
      <c r="C8">
        <f>BDP(A8,"CRNCY")</f>
        <v/>
      </c>
      <c r="D8">
        <f>BDP(A8,"CNTRY_OF_RISK")</f>
        <v/>
      </c>
      <c r="E8">
        <f>BDP(A8,"CPN")/100</f>
        <v/>
      </c>
      <c r="F8">
        <f>BDP(A8,"CPN_FREQ")</f>
        <v/>
      </c>
      <c r="G8">
        <f>BDP(A8,"DAY_CNT_DES")</f>
        <v/>
      </c>
      <c r="H8">
        <f>BDP(A8,"MATURITY")</f>
        <v/>
      </c>
      <c r="I8">
        <f>BDP(A8,"FIRST_CPN_DT")</f>
        <v/>
      </c>
      <c r="J8">
        <f>BDP(A8,"ID_ISIN")</f>
        <v/>
      </c>
      <c r="K8">
        <f>BDP(A8,"MARKET_SECTOR_DES")</f>
        <v/>
      </c>
      <c r="L8">
        <f>BDP(A8,"ISSUER")</f>
        <v/>
      </c>
      <c r="M8">
        <f>BDP(A8,"CNTRY_OF_RISK")</f>
        <v/>
      </c>
      <c r="N8">
        <f>BDP(A8,"INDUSTRY_SECTOR")</f>
        <v/>
      </c>
      <c r="O8">
        <f>BDP(A8,"PAYMENT_RANK")</f>
        <v/>
      </c>
      <c r="Q8">
        <f>BDP(A8,"RTG_SP")</f>
        <v/>
      </c>
      <c r="R8">
        <f>BDP(A8,"RTG_MOODY")</f>
        <v/>
      </c>
      <c r="S8">
        <f>BDP(A8,"RTG_FITCH")</f>
        <v/>
      </c>
    </row>
    <row r="9">
      <c r="B9">
        <f>BDP(A9,"SECURITY_DES")</f>
        <v/>
      </c>
      <c r="C9">
        <f>BDP(A9,"CRNCY")</f>
        <v/>
      </c>
      <c r="D9">
        <f>BDP(A9,"CNTRY_OF_RISK")</f>
        <v/>
      </c>
      <c r="E9">
        <f>BDP(A9,"CPN")/100</f>
        <v/>
      </c>
      <c r="F9">
        <f>BDP(A9,"CPN_FREQ")</f>
        <v/>
      </c>
      <c r="G9">
        <f>BDP(A9,"DAY_CNT_DES")</f>
        <v/>
      </c>
      <c r="H9">
        <f>BDP(A9,"MATURITY")</f>
        <v/>
      </c>
      <c r="I9">
        <f>BDP(A9,"FIRST_CPN_DT")</f>
        <v/>
      </c>
      <c r="J9">
        <f>BDP(A9,"ID_ISIN")</f>
        <v/>
      </c>
      <c r="K9">
        <f>BDP(A9,"MARKET_SECTOR_DES")</f>
        <v/>
      </c>
      <c r="L9">
        <f>BDP(A9,"ISSUER")</f>
        <v/>
      </c>
      <c r="M9">
        <f>BDP(A9,"CNTRY_OF_RISK")</f>
        <v/>
      </c>
      <c r="N9">
        <f>BDP(A9,"INDUSTRY_SECTOR")</f>
        <v/>
      </c>
      <c r="O9">
        <f>BDP(A9,"PAYMENT_RANK")</f>
        <v/>
      </c>
      <c r="Q9">
        <f>BDP(A9,"RTG_SP")</f>
        <v/>
      </c>
      <c r="R9">
        <f>BDP(A9,"RTG_MOODY")</f>
        <v/>
      </c>
      <c r="S9">
        <f>BDP(A9,"RTG_FITCH")</f>
        <v/>
      </c>
    </row>
    <row r="10">
      <c r="B10">
        <f>BDP(A10,"SECURITY_DES")</f>
        <v/>
      </c>
      <c r="C10">
        <f>BDP(A10,"CRNCY")</f>
        <v/>
      </c>
      <c r="D10">
        <f>BDP(A10,"CNTRY_OF_RISK")</f>
        <v/>
      </c>
      <c r="E10">
        <f>BDP(A10,"CPN")/100</f>
        <v/>
      </c>
      <c r="F10">
        <f>BDP(A10,"CPN_FREQ")</f>
        <v/>
      </c>
      <c r="G10">
        <f>BDP(A10,"DAY_CNT_DES")</f>
        <v/>
      </c>
      <c r="H10">
        <f>BDP(A10,"MATURITY")</f>
        <v/>
      </c>
      <c r="I10">
        <f>BDP(A10,"FIRST_CPN_DT")</f>
        <v/>
      </c>
      <c r="J10">
        <f>BDP(A10,"ID_ISIN")</f>
        <v/>
      </c>
      <c r="K10">
        <f>BDP(A10,"MARKET_SECTOR_DES")</f>
        <v/>
      </c>
      <c r="L10">
        <f>BDP(A10,"ISSUER")</f>
        <v/>
      </c>
      <c r="M10">
        <f>BDP(A10,"CNTRY_OF_RISK")</f>
        <v/>
      </c>
      <c r="N10">
        <f>BDP(A10,"INDUSTRY_SECTOR")</f>
        <v/>
      </c>
      <c r="O10">
        <f>BDP(A10,"PAYMENT_RANK")</f>
        <v/>
      </c>
      <c r="Q10">
        <f>BDP(A10,"RTG_SP")</f>
        <v/>
      </c>
      <c r="R10">
        <f>BDP(A10,"RTG_MOODY")</f>
        <v/>
      </c>
      <c r="S10">
        <f>BDP(A10,"RTG_FITCH")</f>
        <v/>
      </c>
    </row>
    <row r="11">
      <c r="B11">
        <f>BDP(A11,"SECURITY_DES")</f>
        <v/>
      </c>
      <c r="C11">
        <f>BDP(A11,"CRNCY")</f>
        <v/>
      </c>
      <c r="D11">
        <f>BDP(A11,"CNTRY_OF_RISK")</f>
        <v/>
      </c>
      <c r="E11">
        <f>BDP(A11,"CPN")/100</f>
        <v/>
      </c>
      <c r="F11">
        <f>BDP(A11,"CPN_FREQ")</f>
        <v/>
      </c>
      <c r="G11">
        <f>BDP(A11,"DAY_CNT_DES")</f>
        <v/>
      </c>
      <c r="H11">
        <f>BDP(A11,"MATURITY")</f>
        <v/>
      </c>
      <c r="I11">
        <f>BDP(A11,"FIRST_CPN_DT")</f>
        <v/>
      </c>
      <c r="J11">
        <f>BDP(A11,"ID_ISIN")</f>
        <v/>
      </c>
      <c r="K11">
        <f>BDP(A11,"MARKET_SECTOR_DES")</f>
        <v/>
      </c>
      <c r="L11">
        <f>BDP(A11,"ISSUER")</f>
        <v/>
      </c>
      <c r="M11">
        <f>BDP(A11,"CNTRY_OF_RISK")</f>
        <v/>
      </c>
      <c r="N11">
        <f>BDP(A11,"INDUSTRY_SECTOR")</f>
        <v/>
      </c>
      <c r="O11">
        <f>BDP(A11,"PAYMENT_RANK")</f>
        <v/>
      </c>
      <c r="Q11">
        <f>BDP(A11,"RTG_SP")</f>
        <v/>
      </c>
      <c r="R11">
        <f>BDP(A11,"RTG_MOODY")</f>
        <v/>
      </c>
      <c r="S11">
        <f>BDP(A11,"RTG_FITCH")</f>
        <v/>
      </c>
    </row>
    <row r="12">
      <c r="B12">
        <f>BDP(A12,"SECURITY_DES")</f>
        <v/>
      </c>
      <c r="C12">
        <f>BDP(A12,"CRNCY")</f>
        <v/>
      </c>
      <c r="D12">
        <f>BDP(A12,"CNTRY_OF_RISK")</f>
        <v/>
      </c>
      <c r="E12">
        <f>BDP(A12,"CPN")/100</f>
        <v/>
      </c>
      <c r="F12">
        <f>BDP(A12,"CPN_FREQ")</f>
        <v/>
      </c>
      <c r="G12">
        <f>BDP(A12,"DAY_CNT_DES")</f>
        <v/>
      </c>
      <c r="H12">
        <f>BDP(A12,"MATURITY")</f>
        <v/>
      </c>
      <c r="I12">
        <f>BDP(A12,"FIRST_CPN_DT")</f>
        <v/>
      </c>
      <c r="J12">
        <f>BDP(A12,"ID_ISIN")</f>
        <v/>
      </c>
      <c r="K12">
        <f>BDP(A12,"MARKET_SECTOR_DES")</f>
        <v/>
      </c>
      <c r="L12">
        <f>BDP(A12,"ISSUER")</f>
        <v/>
      </c>
      <c r="M12">
        <f>BDP(A12,"CNTRY_OF_RISK")</f>
        <v/>
      </c>
      <c r="N12">
        <f>BDP(A12,"INDUSTRY_SECTOR")</f>
        <v/>
      </c>
      <c r="O12">
        <f>BDP(A12,"PAYMENT_RANK")</f>
        <v/>
      </c>
      <c r="Q12">
        <f>BDP(A12,"RTG_SP")</f>
        <v/>
      </c>
      <c r="R12">
        <f>BDP(A12,"RTG_MOODY")</f>
        <v/>
      </c>
      <c r="S12">
        <f>BDP(A12,"RTG_FITCH")</f>
        <v/>
      </c>
    </row>
    <row r="13">
      <c r="B13">
        <f>BDP(A13,"SECURITY_DES")</f>
        <v/>
      </c>
      <c r="C13">
        <f>BDP(A13,"CRNCY")</f>
        <v/>
      </c>
      <c r="D13">
        <f>BDP(A13,"CNTRY_OF_RISK")</f>
        <v/>
      </c>
      <c r="E13">
        <f>BDP(A13,"CPN")/100</f>
        <v/>
      </c>
      <c r="F13">
        <f>BDP(A13,"CPN_FREQ")</f>
        <v/>
      </c>
      <c r="G13">
        <f>BDP(A13,"DAY_CNT_DES")</f>
        <v/>
      </c>
      <c r="H13">
        <f>BDP(A13,"MATURITY")</f>
        <v/>
      </c>
      <c r="I13">
        <f>BDP(A13,"FIRST_CPN_DT")</f>
        <v/>
      </c>
      <c r="J13">
        <f>BDP(A13,"ID_ISIN")</f>
        <v/>
      </c>
      <c r="K13">
        <f>BDP(A13,"MARKET_SECTOR_DES")</f>
        <v/>
      </c>
      <c r="L13">
        <f>BDP(A13,"ISSUER")</f>
        <v/>
      </c>
      <c r="M13">
        <f>BDP(A13,"CNTRY_OF_RISK")</f>
        <v/>
      </c>
      <c r="N13">
        <f>BDP(A13,"INDUSTRY_SECTOR")</f>
        <v/>
      </c>
      <c r="O13">
        <f>BDP(A13,"PAYMENT_RANK")</f>
        <v/>
      </c>
      <c r="Q13">
        <f>BDP(A13,"RTG_SP")</f>
        <v/>
      </c>
      <c r="R13">
        <f>BDP(A13,"RTG_MOODY")</f>
        <v/>
      </c>
      <c r="S13">
        <f>BDP(A13,"RTG_FITCH")</f>
        <v/>
      </c>
    </row>
    <row r="14">
      <c r="B14">
        <f>BDP(A14,"SECURITY_DES")</f>
        <v/>
      </c>
      <c r="C14">
        <f>BDP(A14,"CRNCY")</f>
        <v/>
      </c>
      <c r="D14">
        <f>BDP(A14,"CNTRY_OF_RISK")</f>
        <v/>
      </c>
      <c r="E14">
        <f>BDP(A14,"CPN")/100</f>
        <v/>
      </c>
      <c r="F14">
        <f>BDP(A14,"CPN_FREQ")</f>
        <v/>
      </c>
      <c r="G14">
        <f>BDP(A14,"DAY_CNT_DES")</f>
        <v/>
      </c>
      <c r="H14">
        <f>BDP(A14,"MATURITY")</f>
        <v/>
      </c>
      <c r="I14">
        <f>BDP(A14,"FIRST_CPN_DT")</f>
        <v/>
      </c>
      <c r="J14">
        <f>BDP(A14,"ID_ISIN")</f>
        <v/>
      </c>
      <c r="K14">
        <f>BDP(A14,"MARKET_SECTOR_DES")</f>
        <v/>
      </c>
      <c r="L14">
        <f>BDP(A14,"ISSUER")</f>
        <v/>
      </c>
      <c r="M14">
        <f>BDP(A14,"CNTRY_OF_RISK")</f>
        <v/>
      </c>
      <c r="N14">
        <f>BDP(A14,"INDUSTRY_SECTOR")</f>
        <v/>
      </c>
      <c r="O14">
        <f>BDP(A14,"PAYMENT_RANK")</f>
        <v/>
      </c>
      <c r="Q14">
        <f>BDP(A14,"RTG_SP")</f>
        <v/>
      </c>
      <c r="R14">
        <f>BDP(A14,"RTG_MOODY")</f>
        <v/>
      </c>
      <c r="S14">
        <f>BDP(A14,"RTG_FITCH")</f>
        <v/>
      </c>
    </row>
    <row r="15">
      <c r="B15">
        <f>BDP(A15,"SECURITY_DES")</f>
        <v/>
      </c>
      <c r="C15">
        <f>BDP(A15,"CRNCY")</f>
        <v/>
      </c>
      <c r="D15">
        <f>BDP(A15,"CNTRY_OF_RISK")</f>
        <v/>
      </c>
      <c r="E15">
        <f>BDP(A15,"CPN")/100</f>
        <v/>
      </c>
      <c r="F15">
        <f>BDP(A15,"CPN_FREQ")</f>
        <v/>
      </c>
      <c r="G15">
        <f>BDP(A15,"DAY_CNT_DES")</f>
        <v/>
      </c>
      <c r="H15">
        <f>BDP(A15,"MATURITY")</f>
        <v/>
      </c>
      <c r="I15">
        <f>BDP(A15,"FIRST_CPN_DT")</f>
        <v/>
      </c>
      <c r="J15">
        <f>BDP(A15,"ID_ISIN")</f>
        <v/>
      </c>
      <c r="K15">
        <f>BDP(A15,"MARKET_SECTOR_DES")</f>
        <v/>
      </c>
      <c r="L15">
        <f>BDP(A15,"ISSUER")</f>
        <v/>
      </c>
      <c r="M15">
        <f>BDP(A15,"CNTRY_OF_RISK")</f>
        <v/>
      </c>
      <c r="N15">
        <f>BDP(A15,"INDUSTRY_SECTOR")</f>
        <v/>
      </c>
      <c r="O15">
        <f>BDP(A15,"PAYMENT_RANK")</f>
        <v/>
      </c>
      <c r="Q15">
        <f>BDP(A15,"RTG_SP")</f>
        <v/>
      </c>
      <c r="R15">
        <f>BDP(A15,"RTG_MOODY")</f>
        <v/>
      </c>
      <c r="S15">
        <f>BDP(A15,"RTG_FITCH")</f>
        <v/>
      </c>
    </row>
    <row r="16">
      <c r="B16">
        <f>BDP(A16,"SECURITY_DES")</f>
        <v/>
      </c>
      <c r="C16">
        <f>BDP(A16,"CRNCY")</f>
        <v/>
      </c>
      <c r="D16">
        <f>BDP(A16,"CNTRY_OF_RISK")</f>
        <v/>
      </c>
      <c r="E16">
        <f>BDP(A16,"CPN")/100</f>
        <v/>
      </c>
      <c r="F16">
        <f>BDP(A16,"CPN_FREQ")</f>
        <v/>
      </c>
      <c r="G16">
        <f>BDP(A16,"DAY_CNT_DES")</f>
        <v/>
      </c>
      <c r="H16">
        <f>BDP(A16,"MATURITY")</f>
        <v/>
      </c>
      <c r="I16">
        <f>BDP(A16,"FIRST_CPN_DT")</f>
        <v/>
      </c>
      <c r="J16">
        <f>BDP(A16,"ID_ISIN")</f>
        <v/>
      </c>
      <c r="K16">
        <f>BDP(A16,"MARKET_SECTOR_DES")</f>
        <v/>
      </c>
      <c r="L16">
        <f>BDP(A16,"ISSUER")</f>
        <v/>
      </c>
      <c r="M16">
        <f>BDP(A16,"CNTRY_OF_RISK")</f>
        <v/>
      </c>
      <c r="N16">
        <f>BDP(A16,"INDUSTRY_SECTOR")</f>
        <v/>
      </c>
      <c r="O16">
        <f>BDP(A16,"PAYMENT_RANK")</f>
        <v/>
      </c>
      <c r="Q16">
        <f>BDP(A16,"RTG_SP")</f>
        <v/>
      </c>
      <c r="R16">
        <f>BDP(A16,"RTG_MOODY")</f>
        <v/>
      </c>
      <c r="S16">
        <f>BDP(A16,"RTG_FITCH")</f>
        <v/>
      </c>
    </row>
    <row r="17">
      <c r="B17">
        <f>BDP(A17,"SECURITY_DES")</f>
        <v/>
      </c>
      <c r="C17">
        <f>BDP(A17,"CRNCY")</f>
        <v/>
      </c>
      <c r="D17">
        <f>BDP(A17,"CNTRY_OF_RISK")</f>
        <v/>
      </c>
      <c r="E17">
        <f>BDP(A17,"CPN")/100</f>
        <v/>
      </c>
      <c r="F17">
        <f>BDP(A17,"CPN_FREQ")</f>
        <v/>
      </c>
      <c r="G17">
        <f>BDP(A17,"DAY_CNT_DES")</f>
        <v/>
      </c>
      <c r="H17">
        <f>BDP(A17,"MATURITY")</f>
        <v/>
      </c>
      <c r="I17">
        <f>BDP(A17,"FIRST_CPN_DT")</f>
        <v/>
      </c>
      <c r="J17">
        <f>BDP(A17,"ID_ISIN")</f>
        <v/>
      </c>
      <c r="K17">
        <f>BDP(A17,"MARKET_SECTOR_DES")</f>
        <v/>
      </c>
      <c r="L17">
        <f>BDP(A17,"ISSUER")</f>
        <v/>
      </c>
      <c r="M17">
        <f>BDP(A17,"CNTRY_OF_RISK")</f>
        <v/>
      </c>
      <c r="N17">
        <f>BDP(A17,"INDUSTRY_SECTOR")</f>
        <v/>
      </c>
      <c r="O17">
        <f>BDP(A17,"PAYMENT_RANK")</f>
        <v/>
      </c>
      <c r="Q17">
        <f>BDP(A17,"RTG_SP")</f>
        <v/>
      </c>
      <c r="R17">
        <f>BDP(A17,"RTG_MOODY")</f>
        <v/>
      </c>
      <c r="S17">
        <f>BDP(A17,"RTG_FITCH")</f>
        <v/>
      </c>
    </row>
    <row r="18">
      <c r="B18">
        <f>BDP(A18,"SECURITY_DES")</f>
        <v/>
      </c>
      <c r="C18">
        <f>BDP(A18,"CRNCY")</f>
        <v/>
      </c>
      <c r="D18">
        <f>BDP(A18,"CNTRY_OF_RISK")</f>
        <v/>
      </c>
      <c r="E18">
        <f>BDP(A18,"CPN")/100</f>
        <v/>
      </c>
      <c r="F18">
        <f>BDP(A18,"CPN_FREQ")</f>
        <v/>
      </c>
      <c r="G18">
        <f>BDP(A18,"DAY_CNT_DES")</f>
        <v/>
      </c>
      <c r="H18">
        <f>BDP(A18,"MATURITY")</f>
        <v/>
      </c>
      <c r="I18">
        <f>BDP(A18,"FIRST_CPN_DT")</f>
        <v/>
      </c>
      <c r="J18">
        <f>BDP(A18,"ID_ISIN")</f>
        <v/>
      </c>
      <c r="K18">
        <f>BDP(A18,"MARKET_SECTOR_DES")</f>
        <v/>
      </c>
      <c r="L18">
        <f>BDP(A18,"ISSUER")</f>
        <v/>
      </c>
      <c r="M18">
        <f>BDP(A18,"CNTRY_OF_RISK")</f>
        <v/>
      </c>
      <c r="N18">
        <f>BDP(A18,"INDUSTRY_SECTOR")</f>
        <v/>
      </c>
      <c r="O18">
        <f>BDP(A18,"PAYMENT_RANK")</f>
        <v/>
      </c>
      <c r="Q18">
        <f>BDP(A18,"RTG_SP")</f>
        <v/>
      </c>
      <c r="R18">
        <f>BDP(A18,"RTG_MOODY")</f>
        <v/>
      </c>
      <c r="S18">
        <f>BDP(A18,"RTG_FITCH")</f>
        <v/>
      </c>
    </row>
    <row r="19">
      <c r="B19">
        <f>BDP(A19,"SECURITY_DES")</f>
        <v/>
      </c>
      <c r="C19">
        <f>BDP(A19,"CRNCY")</f>
        <v/>
      </c>
      <c r="D19">
        <f>BDP(A19,"CNTRY_OF_RISK")</f>
        <v/>
      </c>
      <c r="E19">
        <f>BDP(A19,"CPN")/100</f>
        <v/>
      </c>
      <c r="F19">
        <f>BDP(A19,"CPN_FREQ")</f>
        <v/>
      </c>
      <c r="G19">
        <f>BDP(A19,"DAY_CNT_DES")</f>
        <v/>
      </c>
      <c r="H19">
        <f>BDP(A19,"MATURITY")</f>
        <v/>
      </c>
      <c r="I19">
        <f>BDP(A19,"FIRST_CPN_DT")</f>
        <v/>
      </c>
      <c r="J19">
        <f>BDP(A19,"ID_ISIN")</f>
        <v/>
      </c>
      <c r="K19">
        <f>BDP(A19,"MARKET_SECTOR_DES")</f>
        <v/>
      </c>
      <c r="L19">
        <f>BDP(A19,"ISSUER")</f>
        <v/>
      </c>
      <c r="M19">
        <f>BDP(A19,"CNTRY_OF_RISK")</f>
        <v/>
      </c>
      <c r="N19">
        <f>BDP(A19,"INDUSTRY_SECTOR")</f>
        <v/>
      </c>
      <c r="O19">
        <f>BDP(A19,"PAYMENT_RANK")</f>
        <v/>
      </c>
      <c r="Q19">
        <f>BDP(A19,"RTG_SP")</f>
        <v/>
      </c>
      <c r="R19">
        <f>BDP(A19,"RTG_MOODY")</f>
        <v/>
      </c>
      <c r="S19">
        <f>BDP(A19,"RTG_FITCH")</f>
        <v/>
      </c>
    </row>
    <row r="20">
      <c r="B20">
        <f>BDP(A20,"SECURITY_DES")</f>
        <v/>
      </c>
      <c r="C20">
        <f>BDP(A20,"CRNCY")</f>
        <v/>
      </c>
      <c r="D20">
        <f>BDP(A20,"CNTRY_OF_RISK")</f>
        <v/>
      </c>
      <c r="E20">
        <f>BDP(A20,"CPN")/100</f>
        <v/>
      </c>
      <c r="F20">
        <f>BDP(A20,"CPN_FREQ")</f>
        <v/>
      </c>
      <c r="G20">
        <f>BDP(A20,"DAY_CNT_DES")</f>
        <v/>
      </c>
      <c r="H20">
        <f>BDP(A20,"MATURITY")</f>
        <v/>
      </c>
      <c r="I20">
        <f>BDP(A20,"FIRST_CPN_DT")</f>
        <v/>
      </c>
      <c r="J20">
        <f>BDP(A20,"ID_ISIN")</f>
        <v/>
      </c>
      <c r="K20">
        <f>BDP(A20,"MARKET_SECTOR_DES")</f>
        <v/>
      </c>
      <c r="L20">
        <f>BDP(A20,"ISSUER")</f>
        <v/>
      </c>
      <c r="M20">
        <f>BDP(A20,"CNTRY_OF_RISK")</f>
        <v/>
      </c>
      <c r="N20">
        <f>BDP(A20,"INDUSTRY_SECTOR")</f>
        <v/>
      </c>
      <c r="O20">
        <f>BDP(A20,"PAYMENT_RANK")</f>
        <v/>
      </c>
      <c r="Q20">
        <f>BDP(A20,"RTG_SP")</f>
        <v/>
      </c>
      <c r="R20">
        <f>BDP(A20,"RTG_MOODY")</f>
        <v/>
      </c>
      <c r="S20">
        <f>BDP(A20,"RTG_FITCH")</f>
        <v/>
      </c>
    </row>
    <row r="21">
      <c r="B21">
        <f>BDP(A21,"SECURITY_DES")</f>
        <v/>
      </c>
      <c r="C21">
        <f>BDP(A21,"CRNCY")</f>
        <v/>
      </c>
      <c r="D21">
        <f>BDP(A21,"CNTRY_OF_RISK")</f>
        <v/>
      </c>
      <c r="E21">
        <f>BDP(A21,"CPN")/100</f>
        <v/>
      </c>
      <c r="F21">
        <f>BDP(A21,"CPN_FREQ")</f>
        <v/>
      </c>
      <c r="G21">
        <f>BDP(A21,"DAY_CNT_DES")</f>
        <v/>
      </c>
      <c r="H21">
        <f>BDP(A21,"MATURITY")</f>
        <v/>
      </c>
      <c r="I21">
        <f>BDP(A21,"FIRST_CPN_DT")</f>
        <v/>
      </c>
      <c r="J21">
        <f>BDP(A21,"ID_ISIN")</f>
        <v/>
      </c>
      <c r="K21">
        <f>BDP(A21,"MARKET_SECTOR_DES")</f>
        <v/>
      </c>
      <c r="L21">
        <f>BDP(A21,"ISSUER")</f>
        <v/>
      </c>
      <c r="M21">
        <f>BDP(A21,"CNTRY_OF_RISK")</f>
        <v/>
      </c>
      <c r="N21">
        <f>BDP(A21,"INDUSTRY_SECTOR")</f>
        <v/>
      </c>
      <c r="O21">
        <f>BDP(A21,"PAYMENT_RANK")</f>
        <v/>
      </c>
      <c r="Q21">
        <f>BDP(A21,"RTG_SP")</f>
        <v/>
      </c>
      <c r="R21">
        <f>BDP(A21,"RTG_MOODY")</f>
        <v/>
      </c>
      <c r="S21">
        <f>BDP(A21,"RTG_FITCH")</f>
        <v/>
      </c>
    </row>
    <row r="22">
      <c r="B22">
        <f>BDP(A22,"SECURITY_DES")</f>
        <v/>
      </c>
      <c r="C22">
        <f>BDP(A22,"CRNCY")</f>
        <v/>
      </c>
      <c r="D22">
        <f>BDP(A22,"CNTRY_OF_RISK")</f>
        <v/>
      </c>
      <c r="E22">
        <f>BDP(A22,"CPN")/100</f>
        <v/>
      </c>
      <c r="F22">
        <f>BDP(A22,"CPN_FREQ")</f>
        <v/>
      </c>
      <c r="G22">
        <f>BDP(A22,"DAY_CNT_DES")</f>
        <v/>
      </c>
      <c r="H22">
        <f>BDP(A22,"MATURITY")</f>
        <v/>
      </c>
      <c r="I22">
        <f>BDP(A22,"FIRST_CPN_DT")</f>
        <v/>
      </c>
      <c r="J22">
        <f>BDP(A22,"ID_ISIN")</f>
        <v/>
      </c>
      <c r="K22">
        <f>BDP(A22,"MARKET_SECTOR_DES")</f>
        <v/>
      </c>
      <c r="L22">
        <f>BDP(A22,"ISSUER")</f>
        <v/>
      </c>
      <c r="M22">
        <f>BDP(A22,"CNTRY_OF_RISK")</f>
        <v/>
      </c>
      <c r="N22">
        <f>BDP(A22,"INDUSTRY_SECTOR")</f>
        <v/>
      </c>
      <c r="O22">
        <f>BDP(A22,"PAYMENT_RANK")</f>
        <v/>
      </c>
      <c r="Q22">
        <f>BDP(A22,"RTG_SP")</f>
        <v/>
      </c>
      <c r="R22">
        <f>BDP(A22,"RTG_MOODY")</f>
        <v/>
      </c>
      <c r="S22">
        <f>BDP(A22,"RTG_FITCH")</f>
        <v/>
      </c>
    </row>
    <row r="23">
      <c r="B23">
        <f>BDP(A23,"SECURITY_DES")</f>
        <v/>
      </c>
      <c r="C23">
        <f>BDP(A23,"CRNCY")</f>
        <v/>
      </c>
      <c r="D23">
        <f>BDP(A23,"CNTRY_OF_RISK")</f>
        <v/>
      </c>
      <c r="E23">
        <f>BDP(A23,"CPN")/100</f>
        <v/>
      </c>
      <c r="F23">
        <f>BDP(A23,"CPN_FREQ")</f>
        <v/>
      </c>
      <c r="G23">
        <f>BDP(A23,"DAY_CNT_DES")</f>
        <v/>
      </c>
      <c r="H23">
        <f>BDP(A23,"MATURITY")</f>
        <v/>
      </c>
      <c r="I23">
        <f>BDP(A23,"FIRST_CPN_DT")</f>
        <v/>
      </c>
      <c r="J23">
        <f>BDP(A23,"ID_ISIN")</f>
        <v/>
      </c>
      <c r="K23">
        <f>BDP(A23,"MARKET_SECTOR_DES")</f>
        <v/>
      </c>
      <c r="L23">
        <f>BDP(A23,"ISSUER")</f>
        <v/>
      </c>
      <c r="M23">
        <f>BDP(A23,"CNTRY_OF_RISK")</f>
        <v/>
      </c>
      <c r="N23">
        <f>BDP(A23,"INDUSTRY_SECTOR")</f>
        <v/>
      </c>
      <c r="O23">
        <f>BDP(A23,"PAYMENT_RANK")</f>
        <v/>
      </c>
      <c r="Q23">
        <f>BDP(A23,"RTG_SP")</f>
        <v/>
      </c>
      <c r="R23">
        <f>BDP(A23,"RTG_MOODY")</f>
        <v/>
      </c>
      <c r="S23">
        <f>BDP(A23,"RTG_FITCH")</f>
        <v/>
      </c>
    </row>
    <row r="24">
      <c r="B24">
        <f>BDP(A24,"SECURITY_DES")</f>
        <v/>
      </c>
      <c r="C24">
        <f>BDP(A24,"CRNCY")</f>
        <v/>
      </c>
      <c r="D24">
        <f>BDP(A24,"CNTRY_OF_RISK")</f>
        <v/>
      </c>
      <c r="E24">
        <f>BDP(A24,"CPN")/100</f>
        <v/>
      </c>
      <c r="F24">
        <f>BDP(A24,"CPN_FREQ")</f>
        <v/>
      </c>
      <c r="G24">
        <f>BDP(A24,"DAY_CNT_DES")</f>
        <v/>
      </c>
      <c r="H24">
        <f>BDP(A24,"MATURITY")</f>
        <v/>
      </c>
      <c r="I24">
        <f>BDP(A24,"FIRST_CPN_DT")</f>
        <v/>
      </c>
      <c r="J24">
        <f>BDP(A24,"ID_ISIN")</f>
        <v/>
      </c>
      <c r="K24">
        <f>BDP(A24,"MARKET_SECTOR_DES")</f>
        <v/>
      </c>
      <c r="L24">
        <f>BDP(A24,"ISSUER")</f>
        <v/>
      </c>
      <c r="M24">
        <f>BDP(A24,"CNTRY_OF_RISK")</f>
        <v/>
      </c>
      <c r="N24">
        <f>BDP(A24,"INDUSTRY_SECTOR")</f>
        <v/>
      </c>
      <c r="O24">
        <f>BDP(A24,"PAYMENT_RANK")</f>
        <v/>
      </c>
      <c r="Q24">
        <f>BDP(A24,"RTG_SP")</f>
        <v/>
      </c>
      <c r="R24">
        <f>BDP(A24,"RTG_MOODY")</f>
        <v/>
      </c>
      <c r="S24">
        <f>BDP(A24,"RTG_FITCH")</f>
        <v/>
      </c>
    </row>
    <row r="25">
      <c r="B25">
        <f>BDP(A25,"SECURITY_DES")</f>
        <v/>
      </c>
      <c r="C25">
        <f>BDP(A25,"CRNCY")</f>
        <v/>
      </c>
      <c r="D25">
        <f>BDP(A25,"CNTRY_OF_RISK")</f>
        <v/>
      </c>
      <c r="E25">
        <f>BDP(A25,"CPN")/100</f>
        <v/>
      </c>
      <c r="F25">
        <f>BDP(A25,"CPN_FREQ")</f>
        <v/>
      </c>
      <c r="G25">
        <f>BDP(A25,"DAY_CNT_DES")</f>
        <v/>
      </c>
      <c r="H25">
        <f>BDP(A25,"MATURITY")</f>
        <v/>
      </c>
      <c r="I25">
        <f>BDP(A25,"FIRST_CPN_DT")</f>
        <v/>
      </c>
      <c r="J25">
        <f>BDP(A25,"ID_ISIN")</f>
        <v/>
      </c>
      <c r="K25">
        <f>BDP(A25,"MARKET_SECTOR_DES")</f>
        <v/>
      </c>
      <c r="L25">
        <f>BDP(A25,"ISSUER")</f>
        <v/>
      </c>
      <c r="M25">
        <f>BDP(A25,"CNTRY_OF_RISK")</f>
        <v/>
      </c>
      <c r="N25">
        <f>BDP(A25,"INDUSTRY_SECTOR")</f>
        <v/>
      </c>
      <c r="O25">
        <f>BDP(A25,"PAYMENT_RANK")</f>
        <v/>
      </c>
      <c r="Q25">
        <f>BDP(A25,"RTG_SP")</f>
        <v/>
      </c>
      <c r="R25">
        <f>BDP(A25,"RTG_MOODY")</f>
        <v/>
      </c>
      <c r="S25">
        <f>BDP(A25,"RTG_FITCH")</f>
        <v/>
      </c>
    </row>
    <row r="26">
      <c r="B26">
        <f>BDP(A26,"SECURITY_DES")</f>
        <v/>
      </c>
      <c r="C26">
        <f>BDP(A26,"CRNCY")</f>
        <v/>
      </c>
      <c r="D26">
        <f>BDP(A26,"CNTRY_OF_RISK")</f>
        <v/>
      </c>
      <c r="E26">
        <f>BDP(A26,"CPN")/100</f>
        <v/>
      </c>
      <c r="F26">
        <f>BDP(A26,"CPN_FREQ")</f>
        <v/>
      </c>
      <c r="G26">
        <f>BDP(A26,"DAY_CNT_DES")</f>
        <v/>
      </c>
      <c r="H26">
        <f>BDP(A26,"MATURITY")</f>
        <v/>
      </c>
      <c r="I26">
        <f>BDP(A26,"FIRST_CPN_DT")</f>
        <v/>
      </c>
      <c r="J26">
        <f>BDP(A26,"ID_ISIN")</f>
        <v/>
      </c>
      <c r="K26">
        <f>BDP(A26,"MARKET_SECTOR_DES")</f>
        <v/>
      </c>
      <c r="L26">
        <f>BDP(A26,"ISSUER")</f>
        <v/>
      </c>
      <c r="M26">
        <f>BDP(A26,"CNTRY_OF_RISK")</f>
        <v/>
      </c>
      <c r="N26">
        <f>BDP(A26,"INDUSTRY_SECTOR")</f>
        <v/>
      </c>
      <c r="O26">
        <f>BDP(A26,"PAYMENT_RANK")</f>
        <v/>
      </c>
      <c r="Q26">
        <f>BDP(A26,"RTG_SP")</f>
        <v/>
      </c>
      <c r="R26">
        <f>BDP(A26,"RTG_MOODY")</f>
        <v/>
      </c>
      <c r="S26">
        <f>BDP(A26,"RTG_FITCH")</f>
        <v/>
      </c>
    </row>
    <row r="27">
      <c r="B27">
        <f>BDP(A27,"SECURITY_DES")</f>
        <v/>
      </c>
      <c r="C27">
        <f>BDP(A27,"CRNCY")</f>
        <v/>
      </c>
      <c r="D27">
        <f>BDP(A27,"CNTRY_OF_RISK")</f>
        <v/>
      </c>
      <c r="E27">
        <f>BDP(A27,"CPN")/100</f>
        <v/>
      </c>
      <c r="F27">
        <f>BDP(A27,"CPN_FREQ")</f>
        <v/>
      </c>
      <c r="G27">
        <f>BDP(A27,"DAY_CNT_DES")</f>
        <v/>
      </c>
      <c r="H27">
        <f>BDP(A27,"MATURITY")</f>
        <v/>
      </c>
      <c r="I27">
        <f>BDP(A27,"FIRST_CPN_DT")</f>
        <v/>
      </c>
      <c r="J27">
        <f>BDP(A27,"ID_ISIN")</f>
        <v/>
      </c>
      <c r="K27">
        <f>BDP(A27,"MARKET_SECTOR_DES")</f>
        <v/>
      </c>
      <c r="L27">
        <f>BDP(A27,"ISSUER")</f>
        <v/>
      </c>
      <c r="M27">
        <f>BDP(A27,"CNTRY_OF_RISK")</f>
        <v/>
      </c>
      <c r="N27">
        <f>BDP(A27,"INDUSTRY_SECTOR")</f>
        <v/>
      </c>
      <c r="O27">
        <f>BDP(A27,"PAYMENT_RANK")</f>
        <v/>
      </c>
      <c r="Q27">
        <f>BDP(A27,"RTG_SP")</f>
        <v/>
      </c>
      <c r="R27">
        <f>BDP(A27,"RTG_MOODY")</f>
        <v/>
      </c>
      <c r="S27">
        <f>BDP(A27,"RTG_FITCH")</f>
        <v/>
      </c>
    </row>
    <row r="28">
      <c r="B28">
        <f>BDP(A28,"SECURITY_DES")</f>
        <v/>
      </c>
      <c r="C28">
        <f>BDP(A28,"CRNCY")</f>
        <v/>
      </c>
      <c r="D28">
        <f>BDP(A28,"CNTRY_OF_RISK")</f>
        <v/>
      </c>
      <c r="E28">
        <f>BDP(A28,"CPN")/100</f>
        <v/>
      </c>
      <c r="F28">
        <f>BDP(A28,"CPN_FREQ")</f>
        <v/>
      </c>
      <c r="G28">
        <f>BDP(A28,"DAY_CNT_DES")</f>
        <v/>
      </c>
      <c r="H28">
        <f>BDP(A28,"MATURITY")</f>
        <v/>
      </c>
      <c r="I28">
        <f>BDP(A28,"FIRST_CPN_DT")</f>
        <v/>
      </c>
      <c r="J28">
        <f>BDP(A28,"ID_ISIN")</f>
        <v/>
      </c>
      <c r="K28">
        <f>BDP(A28,"MARKET_SECTOR_DES")</f>
        <v/>
      </c>
      <c r="L28">
        <f>BDP(A28,"ISSUER")</f>
        <v/>
      </c>
      <c r="M28">
        <f>BDP(A28,"CNTRY_OF_RISK")</f>
        <v/>
      </c>
      <c r="N28">
        <f>BDP(A28,"INDUSTRY_SECTOR")</f>
        <v/>
      </c>
      <c r="O28">
        <f>BDP(A28,"PAYMENT_RANK")</f>
        <v/>
      </c>
      <c r="Q28">
        <f>BDP(A28,"RTG_SP")</f>
        <v/>
      </c>
      <c r="R28">
        <f>BDP(A28,"RTG_MOODY")</f>
        <v/>
      </c>
      <c r="S28">
        <f>BDP(A28,"RTG_FITCH")</f>
        <v/>
      </c>
    </row>
    <row r="29">
      <c r="B29">
        <f>BDP(A29,"SECURITY_DES")</f>
        <v/>
      </c>
      <c r="C29">
        <f>BDP(A29,"CRNCY")</f>
        <v/>
      </c>
      <c r="D29">
        <f>BDP(A29,"CNTRY_OF_RISK")</f>
        <v/>
      </c>
      <c r="E29">
        <f>BDP(A29,"CPN")/100</f>
        <v/>
      </c>
      <c r="F29">
        <f>BDP(A29,"CPN_FREQ")</f>
        <v/>
      </c>
      <c r="G29">
        <f>BDP(A29,"DAY_CNT_DES")</f>
        <v/>
      </c>
      <c r="H29">
        <f>BDP(A29,"MATURITY")</f>
        <v/>
      </c>
      <c r="I29">
        <f>BDP(A29,"FIRST_CPN_DT")</f>
        <v/>
      </c>
      <c r="J29">
        <f>BDP(A29,"ID_ISIN")</f>
        <v/>
      </c>
      <c r="K29">
        <f>BDP(A29,"MARKET_SECTOR_DES")</f>
        <v/>
      </c>
      <c r="L29">
        <f>BDP(A29,"ISSUER")</f>
        <v/>
      </c>
      <c r="M29">
        <f>BDP(A29,"CNTRY_OF_RISK")</f>
        <v/>
      </c>
      <c r="N29">
        <f>BDP(A29,"INDUSTRY_SECTOR")</f>
        <v/>
      </c>
      <c r="O29">
        <f>BDP(A29,"PAYMENT_RANK")</f>
        <v/>
      </c>
      <c r="Q29">
        <f>BDP(A29,"RTG_SP")</f>
        <v/>
      </c>
      <c r="R29">
        <f>BDP(A29,"RTG_MOODY")</f>
        <v/>
      </c>
      <c r="S29">
        <f>BDP(A29,"RTG_FITCH")</f>
        <v/>
      </c>
    </row>
    <row r="30">
      <c r="B30">
        <f>BDP(A30,"SECURITY_DES")</f>
        <v/>
      </c>
      <c r="C30">
        <f>BDP(A30,"CRNCY")</f>
        <v/>
      </c>
      <c r="D30">
        <f>BDP(A30,"CNTRY_OF_RISK")</f>
        <v/>
      </c>
      <c r="E30">
        <f>BDP(A30,"CPN")/100</f>
        <v/>
      </c>
      <c r="F30">
        <f>BDP(A30,"CPN_FREQ")</f>
        <v/>
      </c>
      <c r="G30">
        <f>BDP(A30,"DAY_CNT_DES")</f>
        <v/>
      </c>
      <c r="H30">
        <f>BDP(A30,"MATURITY")</f>
        <v/>
      </c>
      <c r="I30">
        <f>BDP(A30,"FIRST_CPN_DT")</f>
        <v/>
      </c>
      <c r="J30">
        <f>BDP(A30,"ID_ISIN")</f>
        <v/>
      </c>
      <c r="K30">
        <f>BDP(A30,"MARKET_SECTOR_DES")</f>
        <v/>
      </c>
      <c r="L30">
        <f>BDP(A30,"ISSUER")</f>
        <v/>
      </c>
      <c r="M30">
        <f>BDP(A30,"CNTRY_OF_RISK")</f>
        <v/>
      </c>
      <c r="N30">
        <f>BDP(A30,"INDUSTRY_SECTOR")</f>
        <v/>
      </c>
      <c r="O30">
        <f>BDP(A30,"PAYMENT_RANK")</f>
        <v/>
      </c>
      <c r="Q30">
        <f>BDP(A30,"RTG_SP")</f>
        <v/>
      </c>
      <c r="R30">
        <f>BDP(A30,"RTG_MOODY")</f>
        <v/>
      </c>
      <c r="S30">
        <f>BDP(A30,"RTG_FITCH")</f>
        <v/>
      </c>
    </row>
    <row r="31">
      <c r="B31">
        <f>BDP(A31,"SECURITY_DES")</f>
        <v/>
      </c>
      <c r="C31">
        <f>BDP(A31,"CRNCY")</f>
        <v/>
      </c>
      <c r="D31">
        <f>BDP(A31,"CNTRY_OF_RISK")</f>
        <v/>
      </c>
      <c r="E31">
        <f>BDP(A31,"CPN")/100</f>
        <v/>
      </c>
      <c r="F31">
        <f>BDP(A31,"CPN_FREQ")</f>
        <v/>
      </c>
      <c r="G31">
        <f>BDP(A31,"DAY_CNT_DES")</f>
        <v/>
      </c>
      <c r="H31">
        <f>BDP(A31,"MATURITY")</f>
        <v/>
      </c>
      <c r="I31">
        <f>BDP(A31,"FIRST_CPN_DT")</f>
        <v/>
      </c>
      <c r="J31">
        <f>BDP(A31,"ID_ISIN")</f>
        <v/>
      </c>
      <c r="K31">
        <f>BDP(A31,"MARKET_SECTOR_DES")</f>
        <v/>
      </c>
      <c r="L31">
        <f>BDP(A31,"ISSUER")</f>
        <v/>
      </c>
      <c r="M31">
        <f>BDP(A31,"CNTRY_OF_RISK")</f>
        <v/>
      </c>
      <c r="N31">
        <f>BDP(A31,"INDUSTRY_SECTOR")</f>
        <v/>
      </c>
      <c r="O31">
        <f>BDP(A31,"PAYMENT_RANK")</f>
        <v/>
      </c>
      <c r="Q31">
        <f>BDP(A31,"RTG_SP")</f>
        <v/>
      </c>
      <c r="R31">
        <f>BDP(A31,"RTG_MOODY")</f>
        <v/>
      </c>
      <c r="S31">
        <f>BDP(A31,"RTG_FITCH")</f>
        <v/>
      </c>
    </row>
    <row r="32">
      <c r="B32">
        <f>BDP(A32,"SECURITY_DES")</f>
        <v/>
      </c>
      <c r="C32">
        <f>BDP(A32,"CRNCY")</f>
        <v/>
      </c>
      <c r="D32">
        <f>BDP(A32,"CNTRY_OF_RISK")</f>
        <v/>
      </c>
      <c r="E32">
        <f>BDP(A32,"CPN")/100</f>
        <v/>
      </c>
      <c r="F32">
        <f>BDP(A32,"CPN_FREQ")</f>
        <v/>
      </c>
      <c r="G32">
        <f>BDP(A32,"DAY_CNT_DES")</f>
        <v/>
      </c>
      <c r="H32">
        <f>BDP(A32,"MATURITY")</f>
        <v/>
      </c>
      <c r="I32">
        <f>BDP(A32,"FIRST_CPN_DT")</f>
        <v/>
      </c>
      <c r="J32">
        <f>BDP(A32,"ID_ISIN")</f>
        <v/>
      </c>
      <c r="K32">
        <f>BDP(A32,"MARKET_SECTOR_DES")</f>
        <v/>
      </c>
      <c r="L32">
        <f>BDP(A32,"ISSUER")</f>
        <v/>
      </c>
      <c r="M32">
        <f>BDP(A32,"CNTRY_OF_RISK")</f>
        <v/>
      </c>
      <c r="N32">
        <f>BDP(A32,"INDUSTRY_SECTOR")</f>
        <v/>
      </c>
      <c r="O32">
        <f>BDP(A32,"PAYMENT_RANK")</f>
        <v/>
      </c>
      <c r="Q32">
        <f>BDP(A32,"RTG_SP")</f>
        <v/>
      </c>
      <c r="R32">
        <f>BDP(A32,"RTG_MOODY")</f>
        <v/>
      </c>
      <c r="S32">
        <f>BDP(A32,"RTG_FITCH")</f>
        <v/>
      </c>
    </row>
    <row r="33">
      <c r="B33">
        <f>BDP(A33,"SECURITY_DES")</f>
        <v/>
      </c>
      <c r="C33">
        <f>BDP(A33,"CRNCY")</f>
        <v/>
      </c>
      <c r="D33">
        <f>BDP(A33,"CNTRY_OF_RISK")</f>
        <v/>
      </c>
      <c r="E33">
        <f>BDP(A33,"CPN")/100</f>
        <v/>
      </c>
      <c r="F33">
        <f>BDP(A33,"CPN_FREQ")</f>
        <v/>
      </c>
      <c r="G33">
        <f>BDP(A33,"DAY_CNT_DES")</f>
        <v/>
      </c>
      <c r="H33">
        <f>BDP(A33,"MATURITY")</f>
        <v/>
      </c>
      <c r="I33">
        <f>BDP(A33,"FIRST_CPN_DT")</f>
        <v/>
      </c>
      <c r="J33">
        <f>BDP(A33,"ID_ISIN")</f>
        <v/>
      </c>
      <c r="K33">
        <f>BDP(A33,"MARKET_SECTOR_DES")</f>
        <v/>
      </c>
      <c r="L33">
        <f>BDP(A33,"ISSUER")</f>
        <v/>
      </c>
      <c r="M33">
        <f>BDP(A33,"CNTRY_OF_RISK")</f>
        <v/>
      </c>
      <c r="N33">
        <f>BDP(A33,"INDUSTRY_SECTOR")</f>
        <v/>
      </c>
      <c r="O33">
        <f>BDP(A33,"PAYMENT_RANK")</f>
        <v/>
      </c>
      <c r="Q33">
        <f>BDP(A33,"RTG_SP")</f>
        <v/>
      </c>
      <c r="R33">
        <f>BDP(A33,"RTG_MOODY")</f>
        <v/>
      </c>
      <c r="S33">
        <f>BDP(A33,"RTG_FITCH")</f>
        <v/>
      </c>
    </row>
    <row r="34">
      <c r="B34">
        <f>BDP(A34,"SECURITY_DES")</f>
        <v/>
      </c>
      <c r="C34">
        <f>BDP(A34,"CRNCY")</f>
        <v/>
      </c>
      <c r="D34">
        <f>BDP(A34,"CNTRY_OF_RISK")</f>
        <v/>
      </c>
      <c r="E34">
        <f>BDP(A34,"CPN")/100</f>
        <v/>
      </c>
      <c r="F34">
        <f>BDP(A34,"CPN_FREQ")</f>
        <v/>
      </c>
      <c r="G34">
        <f>BDP(A34,"DAY_CNT_DES")</f>
        <v/>
      </c>
      <c r="H34">
        <f>BDP(A34,"MATURITY")</f>
        <v/>
      </c>
      <c r="I34">
        <f>BDP(A34,"FIRST_CPN_DT")</f>
        <v/>
      </c>
      <c r="J34">
        <f>BDP(A34,"ID_ISIN")</f>
        <v/>
      </c>
      <c r="K34">
        <f>BDP(A34,"MARKET_SECTOR_DES")</f>
        <v/>
      </c>
      <c r="L34">
        <f>BDP(A34,"ISSUER")</f>
        <v/>
      </c>
      <c r="M34">
        <f>BDP(A34,"CNTRY_OF_RISK")</f>
        <v/>
      </c>
      <c r="N34">
        <f>BDP(A34,"INDUSTRY_SECTOR")</f>
        <v/>
      </c>
      <c r="O34">
        <f>BDP(A34,"PAYMENT_RANK")</f>
        <v/>
      </c>
      <c r="Q34">
        <f>BDP(A34,"RTG_SP")</f>
        <v/>
      </c>
      <c r="R34">
        <f>BDP(A34,"RTG_MOODY")</f>
        <v/>
      </c>
      <c r="S34">
        <f>BDP(A34,"RTG_FITCH")</f>
        <v/>
      </c>
    </row>
    <row r="35">
      <c r="B35">
        <f>BDP(A35,"SECURITY_DES")</f>
        <v/>
      </c>
      <c r="C35">
        <f>BDP(A35,"CRNCY")</f>
        <v/>
      </c>
      <c r="D35">
        <f>BDP(A35,"CNTRY_OF_RISK")</f>
        <v/>
      </c>
      <c r="E35">
        <f>BDP(A35,"CPN")/100</f>
        <v/>
      </c>
      <c r="F35">
        <f>BDP(A35,"CPN_FREQ")</f>
        <v/>
      </c>
      <c r="G35">
        <f>BDP(A35,"DAY_CNT_DES")</f>
        <v/>
      </c>
      <c r="H35">
        <f>BDP(A35,"MATURITY")</f>
        <v/>
      </c>
      <c r="I35">
        <f>BDP(A35,"FIRST_CPN_DT")</f>
        <v/>
      </c>
      <c r="J35">
        <f>BDP(A35,"ID_ISIN")</f>
        <v/>
      </c>
      <c r="K35">
        <f>BDP(A35,"MARKET_SECTOR_DES")</f>
        <v/>
      </c>
      <c r="L35">
        <f>BDP(A35,"ISSUER")</f>
        <v/>
      </c>
      <c r="M35">
        <f>BDP(A35,"CNTRY_OF_RISK")</f>
        <v/>
      </c>
      <c r="N35">
        <f>BDP(A35,"INDUSTRY_SECTOR")</f>
        <v/>
      </c>
      <c r="O35">
        <f>BDP(A35,"PAYMENT_RANK")</f>
        <v/>
      </c>
      <c r="Q35">
        <f>BDP(A35,"RTG_SP")</f>
        <v/>
      </c>
      <c r="R35">
        <f>BDP(A35,"RTG_MOODY")</f>
        <v/>
      </c>
      <c r="S35">
        <f>BDP(A35,"RTG_FITCH")</f>
        <v/>
      </c>
    </row>
    <row r="36">
      <c r="B36">
        <f>BDP(A36,"SECURITY_DES")</f>
        <v/>
      </c>
      <c r="C36">
        <f>BDP(A36,"CRNCY")</f>
        <v/>
      </c>
      <c r="D36">
        <f>BDP(A36,"CNTRY_OF_RISK")</f>
        <v/>
      </c>
      <c r="E36">
        <f>BDP(A36,"CPN")/100</f>
        <v/>
      </c>
      <c r="F36">
        <f>BDP(A36,"CPN_FREQ")</f>
        <v/>
      </c>
      <c r="G36">
        <f>BDP(A36,"DAY_CNT_DES")</f>
        <v/>
      </c>
      <c r="H36">
        <f>BDP(A36,"MATURITY")</f>
        <v/>
      </c>
      <c r="I36">
        <f>BDP(A36,"FIRST_CPN_DT")</f>
        <v/>
      </c>
      <c r="J36">
        <f>BDP(A36,"ID_ISIN")</f>
        <v/>
      </c>
      <c r="K36">
        <f>BDP(A36,"MARKET_SECTOR_DES")</f>
        <v/>
      </c>
      <c r="L36">
        <f>BDP(A36,"ISSUER")</f>
        <v/>
      </c>
      <c r="M36">
        <f>BDP(A36,"CNTRY_OF_RISK")</f>
        <v/>
      </c>
      <c r="N36">
        <f>BDP(A36,"INDUSTRY_SECTOR")</f>
        <v/>
      </c>
      <c r="O36">
        <f>BDP(A36,"PAYMENT_RANK")</f>
        <v/>
      </c>
      <c r="Q36">
        <f>BDP(A36,"RTG_SP")</f>
        <v/>
      </c>
      <c r="R36">
        <f>BDP(A36,"RTG_MOODY")</f>
        <v/>
      </c>
      <c r="S36">
        <f>BDP(A36,"RTG_FITCH")</f>
        <v/>
      </c>
    </row>
    <row r="37">
      <c r="B37">
        <f>BDP(A37,"SECURITY_DES")</f>
        <v/>
      </c>
      <c r="C37">
        <f>BDP(A37,"CRNCY")</f>
        <v/>
      </c>
      <c r="D37">
        <f>BDP(A37,"CNTRY_OF_RISK")</f>
        <v/>
      </c>
      <c r="E37">
        <f>BDP(A37,"CPN")/100</f>
        <v/>
      </c>
      <c r="F37">
        <f>BDP(A37,"CPN_FREQ")</f>
        <v/>
      </c>
      <c r="G37">
        <f>BDP(A37,"DAY_CNT_DES")</f>
        <v/>
      </c>
      <c r="H37">
        <f>BDP(A37,"MATURITY")</f>
        <v/>
      </c>
      <c r="I37">
        <f>BDP(A37,"FIRST_CPN_DT")</f>
        <v/>
      </c>
      <c r="J37">
        <f>BDP(A37,"ID_ISIN")</f>
        <v/>
      </c>
      <c r="K37">
        <f>BDP(A37,"MARKET_SECTOR_DES")</f>
        <v/>
      </c>
      <c r="L37">
        <f>BDP(A37,"ISSUER")</f>
        <v/>
      </c>
      <c r="M37">
        <f>BDP(A37,"CNTRY_OF_RISK")</f>
        <v/>
      </c>
      <c r="N37">
        <f>BDP(A37,"INDUSTRY_SECTOR")</f>
        <v/>
      </c>
      <c r="O37">
        <f>BDP(A37,"PAYMENT_RANK")</f>
        <v/>
      </c>
      <c r="Q37">
        <f>BDP(A37,"RTG_SP")</f>
        <v/>
      </c>
      <c r="R37">
        <f>BDP(A37,"RTG_MOODY")</f>
        <v/>
      </c>
      <c r="S37">
        <f>BDP(A37,"RTG_FITCH")</f>
        <v/>
      </c>
    </row>
    <row r="38">
      <c r="B38">
        <f>BDP(A38,"SECURITY_DES")</f>
        <v/>
      </c>
      <c r="C38">
        <f>BDP(A38,"CRNCY")</f>
        <v/>
      </c>
      <c r="D38">
        <f>BDP(A38,"CNTRY_OF_RISK")</f>
        <v/>
      </c>
      <c r="E38">
        <f>BDP(A38,"CPN")/100</f>
        <v/>
      </c>
      <c r="F38">
        <f>BDP(A38,"CPN_FREQ")</f>
        <v/>
      </c>
      <c r="G38">
        <f>BDP(A38,"DAY_CNT_DES")</f>
        <v/>
      </c>
      <c r="H38">
        <f>BDP(A38,"MATURITY")</f>
        <v/>
      </c>
      <c r="I38">
        <f>BDP(A38,"FIRST_CPN_DT")</f>
        <v/>
      </c>
      <c r="J38">
        <f>BDP(A38,"ID_ISIN")</f>
        <v/>
      </c>
      <c r="K38">
        <f>BDP(A38,"MARKET_SECTOR_DES")</f>
        <v/>
      </c>
      <c r="L38">
        <f>BDP(A38,"ISSUER")</f>
        <v/>
      </c>
      <c r="M38">
        <f>BDP(A38,"CNTRY_OF_RISK")</f>
        <v/>
      </c>
      <c r="N38">
        <f>BDP(A38,"INDUSTRY_SECTOR")</f>
        <v/>
      </c>
      <c r="O38">
        <f>BDP(A38,"PAYMENT_RANK")</f>
        <v/>
      </c>
      <c r="Q38">
        <f>BDP(A38,"RTG_SP")</f>
        <v/>
      </c>
      <c r="R38">
        <f>BDP(A38,"RTG_MOODY")</f>
        <v/>
      </c>
      <c r="S38">
        <f>BDP(A38,"RTG_FITCH")</f>
        <v/>
      </c>
    </row>
    <row r="39">
      <c r="B39">
        <f>BDP(A39,"SECURITY_DES")</f>
        <v/>
      </c>
      <c r="C39">
        <f>BDP(A39,"CRNCY")</f>
        <v/>
      </c>
      <c r="D39">
        <f>BDP(A39,"CNTRY_OF_RISK")</f>
        <v/>
      </c>
      <c r="E39">
        <f>BDP(A39,"CPN")/100</f>
        <v/>
      </c>
      <c r="F39">
        <f>BDP(A39,"CPN_FREQ")</f>
        <v/>
      </c>
      <c r="G39">
        <f>BDP(A39,"DAY_CNT_DES")</f>
        <v/>
      </c>
      <c r="H39">
        <f>BDP(A39,"MATURITY")</f>
        <v/>
      </c>
      <c r="I39">
        <f>BDP(A39,"FIRST_CPN_DT")</f>
        <v/>
      </c>
      <c r="J39">
        <f>BDP(A39,"ID_ISIN")</f>
        <v/>
      </c>
      <c r="K39">
        <f>BDP(A39,"MARKET_SECTOR_DES")</f>
        <v/>
      </c>
      <c r="L39">
        <f>BDP(A39,"ISSUER")</f>
        <v/>
      </c>
      <c r="M39">
        <f>BDP(A39,"CNTRY_OF_RISK")</f>
        <v/>
      </c>
      <c r="N39">
        <f>BDP(A39,"INDUSTRY_SECTOR")</f>
        <v/>
      </c>
      <c r="O39">
        <f>BDP(A39,"PAYMENT_RANK")</f>
        <v/>
      </c>
      <c r="Q39">
        <f>BDP(A39,"RTG_SP")</f>
        <v/>
      </c>
      <c r="R39">
        <f>BDP(A39,"RTG_MOODY")</f>
        <v/>
      </c>
      <c r="S39">
        <f>BDP(A39,"RTG_FITCH")</f>
        <v/>
      </c>
    </row>
    <row r="40">
      <c r="B40">
        <f>BDP(A40,"SECURITY_DES")</f>
        <v/>
      </c>
      <c r="C40">
        <f>BDP(A40,"CRNCY")</f>
        <v/>
      </c>
      <c r="D40">
        <f>BDP(A40,"CNTRY_OF_RISK")</f>
        <v/>
      </c>
      <c r="E40">
        <f>BDP(A40,"CPN")/100</f>
        <v/>
      </c>
      <c r="F40">
        <f>BDP(A40,"CPN_FREQ")</f>
        <v/>
      </c>
      <c r="G40">
        <f>BDP(A40,"DAY_CNT_DES")</f>
        <v/>
      </c>
      <c r="H40">
        <f>BDP(A40,"MATURITY")</f>
        <v/>
      </c>
      <c r="I40">
        <f>BDP(A40,"FIRST_CPN_DT")</f>
        <v/>
      </c>
      <c r="J40">
        <f>BDP(A40,"ID_ISIN")</f>
        <v/>
      </c>
      <c r="K40">
        <f>BDP(A40,"MARKET_SECTOR_DES")</f>
        <v/>
      </c>
      <c r="L40">
        <f>BDP(A40,"ISSUER")</f>
        <v/>
      </c>
      <c r="M40">
        <f>BDP(A40,"CNTRY_OF_RISK")</f>
        <v/>
      </c>
      <c r="N40">
        <f>BDP(A40,"INDUSTRY_SECTOR")</f>
        <v/>
      </c>
      <c r="O40">
        <f>BDP(A40,"PAYMENT_RANK")</f>
        <v/>
      </c>
      <c r="Q40">
        <f>BDP(A40,"RTG_SP")</f>
        <v/>
      </c>
      <c r="R40">
        <f>BDP(A40,"RTG_MOODY")</f>
        <v/>
      </c>
      <c r="S40">
        <f>BDP(A40,"RTG_FITCH")</f>
        <v/>
      </c>
    </row>
    <row r="41">
      <c r="B41">
        <f>BDP(A41,"SECURITY_DES")</f>
        <v/>
      </c>
      <c r="C41">
        <f>BDP(A41,"CRNCY")</f>
        <v/>
      </c>
      <c r="D41">
        <f>BDP(A41,"CNTRY_OF_RISK")</f>
        <v/>
      </c>
      <c r="E41">
        <f>BDP(A41,"CPN")/100</f>
        <v/>
      </c>
      <c r="F41">
        <f>BDP(A41,"CPN_FREQ")</f>
        <v/>
      </c>
      <c r="G41">
        <f>BDP(A41,"DAY_CNT_DES")</f>
        <v/>
      </c>
      <c r="H41">
        <f>BDP(A41,"MATURITY")</f>
        <v/>
      </c>
      <c r="I41">
        <f>BDP(A41,"FIRST_CPN_DT")</f>
        <v/>
      </c>
      <c r="J41">
        <f>BDP(A41,"ID_ISIN")</f>
        <v/>
      </c>
      <c r="K41">
        <f>BDP(A41,"MARKET_SECTOR_DES")</f>
        <v/>
      </c>
      <c r="L41">
        <f>BDP(A41,"ISSUER")</f>
        <v/>
      </c>
      <c r="M41">
        <f>BDP(A41,"CNTRY_OF_RISK")</f>
        <v/>
      </c>
      <c r="N41">
        <f>BDP(A41,"INDUSTRY_SECTOR")</f>
        <v/>
      </c>
      <c r="O41">
        <f>BDP(A41,"PAYMENT_RANK")</f>
        <v/>
      </c>
      <c r="Q41">
        <f>BDP(A41,"RTG_SP")</f>
        <v/>
      </c>
      <c r="R41">
        <f>BDP(A41,"RTG_MOODY")</f>
        <v/>
      </c>
      <c r="S41">
        <f>BDP(A41,"RTG_FITCH")</f>
        <v/>
      </c>
    </row>
    <row r="42">
      <c r="B42">
        <f>BDP(A42,"SECURITY_DES")</f>
        <v/>
      </c>
      <c r="C42">
        <f>BDP(A42,"CRNCY")</f>
        <v/>
      </c>
      <c r="D42">
        <f>BDP(A42,"CNTRY_OF_RISK")</f>
        <v/>
      </c>
      <c r="E42">
        <f>BDP(A42,"CPN")/100</f>
        <v/>
      </c>
      <c r="F42">
        <f>BDP(A42,"CPN_FREQ")</f>
        <v/>
      </c>
      <c r="G42">
        <f>BDP(A42,"DAY_CNT_DES")</f>
        <v/>
      </c>
      <c r="H42">
        <f>BDP(A42,"MATURITY")</f>
        <v/>
      </c>
      <c r="I42">
        <f>BDP(A42,"FIRST_CPN_DT")</f>
        <v/>
      </c>
      <c r="J42">
        <f>BDP(A42,"ID_ISIN")</f>
        <v/>
      </c>
      <c r="K42">
        <f>BDP(A42,"MARKET_SECTOR_DES")</f>
        <v/>
      </c>
      <c r="L42">
        <f>BDP(A42,"ISSUER")</f>
        <v/>
      </c>
      <c r="M42">
        <f>BDP(A42,"CNTRY_OF_RISK")</f>
        <v/>
      </c>
      <c r="N42">
        <f>BDP(A42,"INDUSTRY_SECTOR")</f>
        <v/>
      </c>
      <c r="O42">
        <f>BDP(A42,"PAYMENT_RANK")</f>
        <v/>
      </c>
      <c r="Q42">
        <f>BDP(A42,"RTG_SP")</f>
        <v/>
      </c>
      <c r="R42">
        <f>BDP(A42,"RTG_MOODY")</f>
        <v/>
      </c>
      <c r="S42">
        <f>BDP(A42,"RTG_FITCH")</f>
        <v/>
      </c>
    </row>
    <row r="43">
      <c r="B43">
        <f>BDP(A43,"SECURITY_DES")</f>
        <v/>
      </c>
      <c r="C43">
        <f>BDP(A43,"CRNCY")</f>
        <v/>
      </c>
      <c r="D43">
        <f>BDP(A43,"CNTRY_OF_RISK")</f>
        <v/>
      </c>
      <c r="E43">
        <f>BDP(A43,"CPN")/100</f>
        <v/>
      </c>
      <c r="F43">
        <f>BDP(A43,"CPN_FREQ")</f>
        <v/>
      </c>
      <c r="G43">
        <f>BDP(A43,"DAY_CNT_DES")</f>
        <v/>
      </c>
      <c r="H43">
        <f>BDP(A43,"MATURITY")</f>
        <v/>
      </c>
      <c r="I43">
        <f>BDP(A43,"FIRST_CPN_DT")</f>
        <v/>
      </c>
      <c r="J43">
        <f>BDP(A43,"ID_ISIN")</f>
        <v/>
      </c>
      <c r="K43">
        <f>BDP(A43,"MARKET_SECTOR_DES")</f>
        <v/>
      </c>
      <c r="L43">
        <f>BDP(A43,"ISSUER")</f>
        <v/>
      </c>
      <c r="M43">
        <f>BDP(A43,"CNTRY_OF_RISK")</f>
        <v/>
      </c>
      <c r="N43">
        <f>BDP(A43,"INDUSTRY_SECTOR")</f>
        <v/>
      </c>
      <c r="O43">
        <f>BDP(A43,"PAYMENT_RANK")</f>
        <v/>
      </c>
      <c r="Q43">
        <f>BDP(A43,"RTG_SP")</f>
        <v/>
      </c>
      <c r="R43">
        <f>BDP(A43,"RTG_MOODY")</f>
        <v/>
      </c>
      <c r="S43">
        <f>BDP(A43,"RTG_FITCH")</f>
        <v/>
      </c>
    </row>
    <row r="44">
      <c r="B44">
        <f>BDP(A44,"SECURITY_DES")</f>
        <v/>
      </c>
      <c r="C44">
        <f>BDP(A44,"CRNCY")</f>
        <v/>
      </c>
      <c r="D44">
        <f>BDP(A44,"CNTRY_OF_RISK")</f>
        <v/>
      </c>
      <c r="E44">
        <f>BDP(A44,"CPN")/100</f>
        <v/>
      </c>
      <c r="F44">
        <f>BDP(A44,"CPN_FREQ")</f>
        <v/>
      </c>
      <c r="G44">
        <f>BDP(A44,"DAY_CNT_DES")</f>
        <v/>
      </c>
      <c r="H44">
        <f>BDP(A44,"MATURITY")</f>
        <v/>
      </c>
      <c r="I44">
        <f>BDP(A44,"FIRST_CPN_DT")</f>
        <v/>
      </c>
      <c r="J44">
        <f>BDP(A44,"ID_ISIN")</f>
        <v/>
      </c>
      <c r="K44">
        <f>BDP(A44,"MARKET_SECTOR_DES")</f>
        <v/>
      </c>
      <c r="L44">
        <f>BDP(A44,"ISSUER")</f>
        <v/>
      </c>
      <c r="M44">
        <f>BDP(A44,"CNTRY_OF_RISK")</f>
        <v/>
      </c>
      <c r="N44">
        <f>BDP(A44,"INDUSTRY_SECTOR")</f>
        <v/>
      </c>
      <c r="O44">
        <f>BDP(A44,"PAYMENT_RANK")</f>
        <v/>
      </c>
      <c r="Q44">
        <f>BDP(A44,"RTG_SP")</f>
        <v/>
      </c>
      <c r="R44">
        <f>BDP(A44,"RTG_MOODY")</f>
        <v/>
      </c>
      <c r="S44">
        <f>BDP(A44,"RTG_FITCH")</f>
        <v/>
      </c>
    </row>
    <row r="45">
      <c r="B45">
        <f>BDP(A45,"SECURITY_DES")</f>
        <v/>
      </c>
      <c r="C45">
        <f>BDP(A45,"CRNCY")</f>
        <v/>
      </c>
      <c r="D45">
        <f>BDP(A45,"CNTRY_OF_RISK")</f>
        <v/>
      </c>
      <c r="E45">
        <f>BDP(A45,"CPN")/100</f>
        <v/>
      </c>
      <c r="F45">
        <f>BDP(A45,"CPN_FREQ")</f>
        <v/>
      </c>
      <c r="G45">
        <f>BDP(A45,"DAY_CNT_DES")</f>
        <v/>
      </c>
      <c r="H45">
        <f>BDP(A45,"MATURITY")</f>
        <v/>
      </c>
      <c r="I45">
        <f>BDP(A45,"FIRST_CPN_DT")</f>
        <v/>
      </c>
      <c r="J45">
        <f>BDP(A45,"ID_ISIN")</f>
        <v/>
      </c>
      <c r="K45">
        <f>BDP(A45,"MARKET_SECTOR_DES")</f>
        <v/>
      </c>
      <c r="L45">
        <f>BDP(A45,"ISSUER")</f>
        <v/>
      </c>
      <c r="M45">
        <f>BDP(A45,"CNTRY_OF_RISK")</f>
        <v/>
      </c>
      <c r="N45">
        <f>BDP(A45,"INDUSTRY_SECTOR")</f>
        <v/>
      </c>
      <c r="O45">
        <f>BDP(A45,"PAYMENT_RANK")</f>
        <v/>
      </c>
      <c r="Q45">
        <f>BDP(A45,"RTG_SP")</f>
        <v/>
      </c>
      <c r="R45">
        <f>BDP(A45,"RTG_MOODY")</f>
        <v/>
      </c>
      <c r="S45">
        <f>BDP(A45,"RTG_FITCH")</f>
        <v/>
      </c>
    </row>
    <row r="46">
      <c r="B46">
        <f>BDP(A46,"SECURITY_DES")</f>
        <v/>
      </c>
      <c r="C46">
        <f>BDP(A46,"CRNCY")</f>
        <v/>
      </c>
      <c r="D46">
        <f>BDP(A46,"CNTRY_OF_RISK")</f>
        <v/>
      </c>
      <c r="E46">
        <f>BDP(A46,"CPN")/100</f>
        <v/>
      </c>
      <c r="F46">
        <f>BDP(A46,"CPN_FREQ")</f>
        <v/>
      </c>
      <c r="G46">
        <f>BDP(A46,"DAY_CNT_DES")</f>
        <v/>
      </c>
      <c r="H46">
        <f>BDP(A46,"MATURITY")</f>
        <v/>
      </c>
      <c r="I46">
        <f>BDP(A46,"FIRST_CPN_DT")</f>
        <v/>
      </c>
      <c r="J46">
        <f>BDP(A46,"ID_ISIN")</f>
        <v/>
      </c>
      <c r="K46">
        <f>BDP(A46,"MARKET_SECTOR_DES")</f>
        <v/>
      </c>
      <c r="L46">
        <f>BDP(A46,"ISSUER")</f>
        <v/>
      </c>
      <c r="M46">
        <f>BDP(A46,"CNTRY_OF_RISK")</f>
        <v/>
      </c>
      <c r="N46">
        <f>BDP(A46,"INDUSTRY_SECTOR")</f>
        <v/>
      </c>
      <c r="O46">
        <f>BDP(A46,"PAYMENT_RANK")</f>
        <v/>
      </c>
      <c r="Q46">
        <f>BDP(A46,"RTG_SP")</f>
        <v/>
      </c>
      <c r="R46">
        <f>BDP(A46,"RTG_MOODY")</f>
        <v/>
      </c>
      <c r="S46">
        <f>BDP(A46,"RTG_FITCH")</f>
        <v/>
      </c>
    </row>
    <row r="47">
      <c r="B47">
        <f>BDP(A47,"SECURITY_DES")</f>
        <v/>
      </c>
      <c r="C47">
        <f>BDP(A47,"CRNCY")</f>
        <v/>
      </c>
      <c r="D47">
        <f>BDP(A47,"CNTRY_OF_RISK")</f>
        <v/>
      </c>
      <c r="E47">
        <f>BDP(A47,"CPN")/100</f>
        <v/>
      </c>
      <c r="F47">
        <f>BDP(A47,"CPN_FREQ")</f>
        <v/>
      </c>
      <c r="G47">
        <f>BDP(A47,"DAY_CNT_DES")</f>
        <v/>
      </c>
      <c r="H47">
        <f>BDP(A47,"MATURITY")</f>
        <v/>
      </c>
      <c r="I47">
        <f>BDP(A47,"FIRST_CPN_DT")</f>
        <v/>
      </c>
      <c r="J47">
        <f>BDP(A47,"ID_ISIN")</f>
        <v/>
      </c>
      <c r="K47">
        <f>BDP(A47,"MARKET_SECTOR_DES")</f>
        <v/>
      </c>
      <c r="L47">
        <f>BDP(A47,"ISSUER")</f>
        <v/>
      </c>
      <c r="M47">
        <f>BDP(A47,"CNTRY_OF_RISK")</f>
        <v/>
      </c>
      <c r="N47">
        <f>BDP(A47,"INDUSTRY_SECTOR")</f>
        <v/>
      </c>
      <c r="O47">
        <f>BDP(A47,"PAYMENT_RANK")</f>
        <v/>
      </c>
      <c r="Q47">
        <f>BDP(A47,"RTG_SP")</f>
        <v/>
      </c>
      <c r="R47">
        <f>BDP(A47,"RTG_MOODY")</f>
        <v/>
      </c>
      <c r="S47">
        <f>BDP(A47,"RTG_FITCH")</f>
        <v/>
      </c>
    </row>
    <row r="48">
      <c r="B48">
        <f>BDP(A48,"SECURITY_DES")</f>
        <v/>
      </c>
      <c r="C48">
        <f>BDP(A48,"CRNCY")</f>
        <v/>
      </c>
      <c r="D48">
        <f>BDP(A48,"CNTRY_OF_RISK")</f>
        <v/>
      </c>
      <c r="E48">
        <f>BDP(A48,"CPN")/100</f>
        <v/>
      </c>
      <c r="F48">
        <f>BDP(A48,"CPN_FREQ")</f>
        <v/>
      </c>
      <c r="G48">
        <f>BDP(A48,"DAY_CNT_DES")</f>
        <v/>
      </c>
      <c r="H48">
        <f>BDP(A48,"MATURITY")</f>
        <v/>
      </c>
      <c r="I48">
        <f>BDP(A48,"FIRST_CPN_DT")</f>
        <v/>
      </c>
      <c r="J48">
        <f>BDP(A48,"ID_ISIN")</f>
        <v/>
      </c>
      <c r="K48">
        <f>BDP(A48,"MARKET_SECTOR_DES")</f>
        <v/>
      </c>
      <c r="L48">
        <f>BDP(A48,"ISSUER")</f>
        <v/>
      </c>
      <c r="M48">
        <f>BDP(A48,"CNTRY_OF_RISK")</f>
        <v/>
      </c>
      <c r="N48">
        <f>BDP(A48,"INDUSTRY_SECTOR")</f>
        <v/>
      </c>
      <c r="O48">
        <f>BDP(A48,"PAYMENT_RANK")</f>
        <v/>
      </c>
      <c r="Q48">
        <f>BDP(A48,"RTG_SP")</f>
        <v/>
      </c>
      <c r="R48">
        <f>BDP(A48,"RTG_MOODY")</f>
        <v/>
      </c>
      <c r="S48">
        <f>BDP(A48,"RTG_FITCH")</f>
        <v/>
      </c>
    </row>
    <row r="49">
      <c r="B49">
        <f>BDP(A49,"SECURITY_DES")</f>
        <v/>
      </c>
      <c r="C49">
        <f>BDP(A49,"CRNCY")</f>
        <v/>
      </c>
      <c r="D49">
        <f>BDP(A49,"CNTRY_OF_RISK")</f>
        <v/>
      </c>
      <c r="E49">
        <f>BDP(A49,"CPN")/100</f>
        <v/>
      </c>
      <c r="F49">
        <f>BDP(A49,"CPN_FREQ")</f>
        <v/>
      </c>
      <c r="G49">
        <f>BDP(A49,"DAY_CNT_DES")</f>
        <v/>
      </c>
      <c r="H49">
        <f>BDP(A49,"MATURITY")</f>
        <v/>
      </c>
      <c r="I49">
        <f>BDP(A49,"FIRST_CPN_DT")</f>
        <v/>
      </c>
      <c r="J49">
        <f>BDP(A49,"ID_ISIN")</f>
        <v/>
      </c>
      <c r="K49">
        <f>BDP(A49,"MARKET_SECTOR_DES")</f>
        <v/>
      </c>
      <c r="L49">
        <f>BDP(A49,"ISSUER")</f>
        <v/>
      </c>
      <c r="M49">
        <f>BDP(A49,"CNTRY_OF_RISK")</f>
        <v/>
      </c>
      <c r="N49">
        <f>BDP(A49,"INDUSTRY_SECTOR")</f>
        <v/>
      </c>
      <c r="O49">
        <f>BDP(A49,"PAYMENT_RANK")</f>
        <v/>
      </c>
      <c r="Q49">
        <f>BDP(A49,"RTG_SP")</f>
        <v/>
      </c>
      <c r="R49">
        <f>BDP(A49,"RTG_MOODY")</f>
        <v/>
      </c>
      <c r="S49">
        <f>BDP(A49,"RTG_FITCH")</f>
        <v/>
      </c>
    </row>
    <row r="50">
      <c r="B50">
        <f>BDP(A50,"SECURITY_DES")</f>
        <v/>
      </c>
      <c r="C50">
        <f>BDP(A50,"CRNCY")</f>
        <v/>
      </c>
      <c r="D50">
        <f>BDP(A50,"CNTRY_OF_RISK")</f>
        <v/>
      </c>
      <c r="E50">
        <f>BDP(A50,"CPN")/100</f>
        <v/>
      </c>
      <c r="F50">
        <f>BDP(A50,"CPN_FREQ")</f>
        <v/>
      </c>
      <c r="G50">
        <f>BDP(A50,"DAY_CNT_DES")</f>
        <v/>
      </c>
      <c r="H50">
        <f>BDP(A50,"MATURITY")</f>
        <v/>
      </c>
      <c r="I50">
        <f>BDP(A50,"FIRST_CPN_DT")</f>
        <v/>
      </c>
      <c r="J50">
        <f>BDP(A50,"ID_ISIN")</f>
        <v/>
      </c>
      <c r="K50">
        <f>BDP(A50,"MARKET_SECTOR_DES")</f>
        <v/>
      </c>
      <c r="L50">
        <f>BDP(A50,"ISSUER")</f>
        <v/>
      </c>
      <c r="M50">
        <f>BDP(A50,"CNTRY_OF_RISK")</f>
        <v/>
      </c>
      <c r="N50">
        <f>BDP(A50,"INDUSTRY_SECTOR")</f>
        <v/>
      </c>
      <c r="O50">
        <f>BDP(A50,"PAYMENT_RANK")</f>
        <v/>
      </c>
      <c r="Q50">
        <f>BDP(A50,"RTG_SP")</f>
        <v/>
      </c>
      <c r="R50">
        <f>BDP(A50,"RTG_MOODY")</f>
        <v/>
      </c>
      <c r="S50">
        <f>BDP(A50,"RTG_FITCH")</f>
        <v/>
      </c>
    </row>
    <row r="51">
      <c r="B51">
        <f>BDP(A51,"SECURITY_DES")</f>
        <v/>
      </c>
      <c r="C51">
        <f>BDP(A51,"CRNCY")</f>
        <v/>
      </c>
      <c r="D51">
        <f>BDP(A51,"CNTRY_OF_RISK")</f>
        <v/>
      </c>
      <c r="E51">
        <f>BDP(A51,"CPN")/100</f>
        <v/>
      </c>
      <c r="F51">
        <f>BDP(A51,"CPN_FREQ")</f>
        <v/>
      </c>
      <c r="G51">
        <f>BDP(A51,"DAY_CNT_DES")</f>
        <v/>
      </c>
      <c r="H51">
        <f>BDP(A51,"MATURITY")</f>
        <v/>
      </c>
      <c r="I51">
        <f>BDP(A51,"FIRST_CPN_DT")</f>
        <v/>
      </c>
      <c r="J51">
        <f>BDP(A51,"ID_ISIN")</f>
        <v/>
      </c>
      <c r="K51">
        <f>BDP(A51,"MARKET_SECTOR_DES")</f>
        <v/>
      </c>
      <c r="L51">
        <f>BDP(A51,"ISSUER")</f>
        <v/>
      </c>
      <c r="M51">
        <f>BDP(A51,"CNTRY_OF_RISK")</f>
        <v/>
      </c>
      <c r="N51">
        <f>BDP(A51,"INDUSTRY_SECTOR")</f>
        <v/>
      </c>
      <c r="O51">
        <f>BDP(A51,"PAYMENT_RANK")</f>
        <v/>
      </c>
      <c r="Q51">
        <f>BDP(A51,"RTG_SP")</f>
        <v/>
      </c>
      <c r="R51">
        <f>BDP(A51,"RTG_MOODY")</f>
        <v/>
      </c>
      <c r="S51">
        <f>BDP(A51,"RTG_FITCH")</f>
        <v/>
      </c>
    </row>
    <row r="52">
      <c r="B52">
        <f>BDP(A52,"SECURITY_DES")</f>
        <v/>
      </c>
      <c r="C52">
        <f>BDP(A52,"CRNCY")</f>
        <v/>
      </c>
      <c r="D52">
        <f>BDP(A52,"CNTRY_OF_RISK")</f>
        <v/>
      </c>
      <c r="E52">
        <f>BDP(A52,"CPN")/100</f>
        <v/>
      </c>
      <c r="F52">
        <f>BDP(A52,"CPN_FREQ")</f>
        <v/>
      </c>
      <c r="G52">
        <f>BDP(A52,"DAY_CNT_DES")</f>
        <v/>
      </c>
      <c r="H52">
        <f>BDP(A52,"MATURITY")</f>
        <v/>
      </c>
      <c r="I52">
        <f>BDP(A52,"FIRST_CPN_DT")</f>
        <v/>
      </c>
      <c r="J52">
        <f>BDP(A52,"ID_ISIN")</f>
        <v/>
      </c>
      <c r="K52">
        <f>BDP(A52,"MARKET_SECTOR_DES")</f>
        <v/>
      </c>
      <c r="L52">
        <f>BDP(A52,"ISSUER")</f>
        <v/>
      </c>
      <c r="M52">
        <f>BDP(A52,"CNTRY_OF_RISK")</f>
        <v/>
      </c>
      <c r="N52">
        <f>BDP(A52,"INDUSTRY_SECTOR")</f>
        <v/>
      </c>
      <c r="O52">
        <f>BDP(A52,"PAYMENT_RANK")</f>
        <v/>
      </c>
      <c r="Q52">
        <f>BDP(A52,"RTG_SP")</f>
        <v/>
      </c>
      <c r="R52">
        <f>BDP(A52,"RTG_MOODY")</f>
        <v/>
      </c>
      <c r="S52">
        <f>BDP(A52,"RTG_FITCH")</f>
        <v/>
      </c>
    </row>
    <row r="53">
      <c r="B53">
        <f>BDP(A53,"SECURITY_DES")</f>
        <v/>
      </c>
      <c r="C53">
        <f>BDP(A53,"CRNCY")</f>
        <v/>
      </c>
      <c r="D53">
        <f>BDP(A53,"CNTRY_OF_RISK")</f>
        <v/>
      </c>
      <c r="E53">
        <f>BDP(A53,"CPN")/100</f>
        <v/>
      </c>
      <c r="F53">
        <f>BDP(A53,"CPN_FREQ")</f>
        <v/>
      </c>
      <c r="G53">
        <f>BDP(A53,"DAY_CNT_DES")</f>
        <v/>
      </c>
      <c r="H53">
        <f>BDP(A53,"MATURITY")</f>
        <v/>
      </c>
      <c r="I53">
        <f>BDP(A53,"FIRST_CPN_DT")</f>
        <v/>
      </c>
      <c r="J53">
        <f>BDP(A53,"ID_ISIN")</f>
        <v/>
      </c>
      <c r="K53">
        <f>BDP(A53,"MARKET_SECTOR_DES")</f>
        <v/>
      </c>
      <c r="L53">
        <f>BDP(A53,"ISSUER")</f>
        <v/>
      </c>
      <c r="M53">
        <f>BDP(A53,"CNTRY_OF_RISK")</f>
        <v/>
      </c>
      <c r="N53">
        <f>BDP(A53,"INDUSTRY_SECTOR")</f>
        <v/>
      </c>
      <c r="O53">
        <f>BDP(A53,"PAYMENT_RANK")</f>
        <v/>
      </c>
      <c r="Q53">
        <f>BDP(A53,"RTG_SP")</f>
        <v/>
      </c>
      <c r="R53">
        <f>BDP(A53,"RTG_MOODY")</f>
        <v/>
      </c>
      <c r="S53">
        <f>BDP(A53,"RTG_FITCH")</f>
        <v/>
      </c>
    </row>
    <row r="54">
      <c r="B54">
        <f>BDP(A54,"SECURITY_DES")</f>
        <v/>
      </c>
      <c r="C54">
        <f>BDP(A54,"CRNCY")</f>
        <v/>
      </c>
      <c r="D54">
        <f>BDP(A54,"CNTRY_OF_RISK")</f>
        <v/>
      </c>
      <c r="E54">
        <f>BDP(A54,"CPN")/100</f>
        <v/>
      </c>
      <c r="F54">
        <f>BDP(A54,"CPN_FREQ")</f>
        <v/>
      </c>
      <c r="G54">
        <f>BDP(A54,"DAY_CNT_DES")</f>
        <v/>
      </c>
      <c r="H54">
        <f>BDP(A54,"MATURITY")</f>
        <v/>
      </c>
      <c r="I54">
        <f>BDP(A54,"FIRST_CPN_DT")</f>
        <v/>
      </c>
      <c r="J54">
        <f>BDP(A54,"ID_ISIN")</f>
        <v/>
      </c>
      <c r="K54">
        <f>BDP(A54,"MARKET_SECTOR_DES")</f>
        <v/>
      </c>
      <c r="L54">
        <f>BDP(A54,"ISSUER")</f>
        <v/>
      </c>
      <c r="M54">
        <f>BDP(A54,"CNTRY_OF_RISK")</f>
        <v/>
      </c>
      <c r="N54">
        <f>BDP(A54,"INDUSTRY_SECTOR")</f>
        <v/>
      </c>
      <c r="O54">
        <f>BDP(A54,"PAYMENT_RANK")</f>
        <v/>
      </c>
      <c r="Q54">
        <f>BDP(A54,"RTG_SP")</f>
        <v/>
      </c>
      <c r="R54">
        <f>BDP(A54,"RTG_MOODY")</f>
        <v/>
      </c>
      <c r="S54">
        <f>BDP(A54,"RTG_FITCH")</f>
        <v/>
      </c>
    </row>
    <row r="55">
      <c r="B55">
        <f>BDP(A55,"SECURITY_DES")</f>
        <v/>
      </c>
      <c r="C55">
        <f>BDP(A55,"CRNCY")</f>
        <v/>
      </c>
      <c r="D55">
        <f>BDP(A55,"CNTRY_OF_RISK")</f>
        <v/>
      </c>
      <c r="E55">
        <f>BDP(A55,"CPN")/100</f>
        <v/>
      </c>
      <c r="F55">
        <f>BDP(A55,"CPN_FREQ")</f>
        <v/>
      </c>
      <c r="G55">
        <f>BDP(A55,"DAY_CNT_DES")</f>
        <v/>
      </c>
      <c r="H55">
        <f>BDP(A55,"MATURITY")</f>
        <v/>
      </c>
      <c r="I55">
        <f>BDP(A55,"FIRST_CPN_DT")</f>
        <v/>
      </c>
      <c r="J55">
        <f>BDP(A55,"ID_ISIN")</f>
        <v/>
      </c>
      <c r="K55">
        <f>BDP(A55,"MARKET_SECTOR_DES")</f>
        <v/>
      </c>
      <c r="L55">
        <f>BDP(A55,"ISSUER")</f>
        <v/>
      </c>
      <c r="M55">
        <f>BDP(A55,"CNTRY_OF_RISK")</f>
        <v/>
      </c>
      <c r="N55">
        <f>BDP(A55,"INDUSTRY_SECTOR")</f>
        <v/>
      </c>
      <c r="O55">
        <f>BDP(A55,"PAYMENT_RANK")</f>
        <v/>
      </c>
      <c r="Q55">
        <f>BDP(A55,"RTG_SP")</f>
        <v/>
      </c>
      <c r="R55">
        <f>BDP(A55,"RTG_MOODY")</f>
        <v/>
      </c>
      <c r="S55">
        <f>BDP(A55,"RTG_FITCH")</f>
        <v/>
      </c>
    </row>
    <row r="56">
      <c r="B56">
        <f>BDP(A56,"SECURITY_DES")</f>
        <v/>
      </c>
      <c r="C56">
        <f>BDP(A56,"CRNCY")</f>
        <v/>
      </c>
      <c r="D56">
        <f>BDP(A56,"CNTRY_OF_RISK")</f>
        <v/>
      </c>
      <c r="E56">
        <f>BDP(A56,"CPN")/100</f>
        <v/>
      </c>
      <c r="F56">
        <f>BDP(A56,"CPN_FREQ")</f>
        <v/>
      </c>
      <c r="G56">
        <f>BDP(A56,"DAY_CNT_DES")</f>
        <v/>
      </c>
      <c r="H56">
        <f>BDP(A56,"MATURITY")</f>
        <v/>
      </c>
      <c r="I56">
        <f>BDP(A56,"FIRST_CPN_DT")</f>
        <v/>
      </c>
      <c r="J56">
        <f>BDP(A56,"ID_ISIN")</f>
        <v/>
      </c>
      <c r="K56">
        <f>BDP(A56,"MARKET_SECTOR_DES")</f>
        <v/>
      </c>
      <c r="L56">
        <f>BDP(A56,"ISSUER")</f>
        <v/>
      </c>
      <c r="M56">
        <f>BDP(A56,"CNTRY_OF_RISK")</f>
        <v/>
      </c>
      <c r="N56">
        <f>BDP(A56,"INDUSTRY_SECTOR")</f>
        <v/>
      </c>
      <c r="O56">
        <f>BDP(A56,"PAYMENT_RANK")</f>
        <v/>
      </c>
      <c r="Q56">
        <f>BDP(A56,"RTG_SP")</f>
        <v/>
      </c>
      <c r="R56">
        <f>BDP(A56,"RTG_MOODY")</f>
        <v/>
      </c>
      <c r="S56">
        <f>BDP(A56,"RTG_FITCH")</f>
        <v/>
      </c>
    </row>
    <row r="57">
      <c r="B57">
        <f>BDP(A57,"SECURITY_DES")</f>
        <v/>
      </c>
      <c r="C57">
        <f>BDP(A57,"CRNCY")</f>
        <v/>
      </c>
      <c r="D57">
        <f>BDP(A57,"CNTRY_OF_RISK")</f>
        <v/>
      </c>
      <c r="E57">
        <f>BDP(A57,"CPN")/100</f>
        <v/>
      </c>
      <c r="F57">
        <f>BDP(A57,"CPN_FREQ")</f>
        <v/>
      </c>
      <c r="G57">
        <f>BDP(A57,"DAY_CNT_DES")</f>
        <v/>
      </c>
      <c r="H57">
        <f>BDP(A57,"MATURITY")</f>
        <v/>
      </c>
      <c r="I57">
        <f>BDP(A57,"FIRST_CPN_DT")</f>
        <v/>
      </c>
      <c r="J57">
        <f>BDP(A57,"ID_ISIN")</f>
        <v/>
      </c>
      <c r="K57">
        <f>BDP(A57,"MARKET_SECTOR_DES")</f>
        <v/>
      </c>
      <c r="L57">
        <f>BDP(A57,"ISSUER")</f>
        <v/>
      </c>
      <c r="M57">
        <f>BDP(A57,"CNTRY_OF_RISK")</f>
        <v/>
      </c>
      <c r="N57">
        <f>BDP(A57,"INDUSTRY_SECTOR")</f>
        <v/>
      </c>
      <c r="O57">
        <f>BDP(A57,"PAYMENT_RANK")</f>
        <v/>
      </c>
      <c r="Q57">
        <f>BDP(A57,"RTG_SP")</f>
        <v/>
      </c>
      <c r="R57">
        <f>BDP(A57,"RTG_MOODY")</f>
        <v/>
      </c>
      <c r="S57">
        <f>BDP(A57,"RTG_FITCH")</f>
        <v/>
      </c>
    </row>
    <row r="58">
      <c r="B58">
        <f>BDP(A58,"SECURITY_DES")</f>
        <v/>
      </c>
      <c r="C58">
        <f>BDP(A58,"CRNCY")</f>
        <v/>
      </c>
      <c r="D58">
        <f>BDP(A58,"CNTRY_OF_RISK")</f>
        <v/>
      </c>
      <c r="E58">
        <f>BDP(A58,"CPN")/100</f>
        <v/>
      </c>
      <c r="F58">
        <f>BDP(A58,"CPN_FREQ")</f>
        <v/>
      </c>
      <c r="G58">
        <f>BDP(A58,"DAY_CNT_DES")</f>
        <v/>
      </c>
      <c r="H58">
        <f>BDP(A58,"MATURITY")</f>
        <v/>
      </c>
      <c r="I58">
        <f>BDP(A58,"FIRST_CPN_DT")</f>
        <v/>
      </c>
      <c r="J58">
        <f>BDP(A58,"ID_ISIN")</f>
        <v/>
      </c>
      <c r="K58">
        <f>BDP(A58,"MARKET_SECTOR_DES")</f>
        <v/>
      </c>
      <c r="L58">
        <f>BDP(A58,"ISSUER")</f>
        <v/>
      </c>
      <c r="M58">
        <f>BDP(A58,"CNTRY_OF_RISK")</f>
        <v/>
      </c>
      <c r="N58">
        <f>BDP(A58,"INDUSTRY_SECTOR")</f>
        <v/>
      </c>
      <c r="O58">
        <f>BDP(A58,"PAYMENT_RANK")</f>
        <v/>
      </c>
      <c r="Q58">
        <f>BDP(A58,"RTG_SP")</f>
        <v/>
      </c>
      <c r="R58">
        <f>BDP(A58,"RTG_MOODY")</f>
        <v/>
      </c>
      <c r="S58">
        <f>BDP(A58,"RTG_FITCH")</f>
        <v/>
      </c>
    </row>
    <row r="59">
      <c r="B59">
        <f>BDP(A59,"SECURITY_DES")</f>
        <v/>
      </c>
      <c r="C59">
        <f>BDP(A59,"CRNCY")</f>
        <v/>
      </c>
      <c r="D59">
        <f>BDP(A59,"CNTRY_OF_RISK")</f>
        <v/>
      </c>
      <c r="E59">
        <f>BDP(A59,"CPN")/100</f>
        <v/>
      </c>
      <c r="F59">
        <f>BDP(A59,"CPN_FREQ")</f>
        <v/>
      </c>
      <c r="G59">
        <f>BDP(A59,"DAY_CNT_DES")</f>
        <v/>
      </c>
      <c r="H59">
        <f>BDP(A59,"MATURITY")</f>
        <v/>
      </c>
      <c r="I59">
        <f>BDP(A59,"FIRST_CPN_DT")</f>
        <v/>
      </c>
      <c r="J59">
        <f>BDP(A59,"ID_ISIN")</f>
        <v/>
      </c>
      <c r="K59">
        <f>BDP(A59,"MARKET_SECTOR_DES")</f>
        <v/>
      </c>
      <c r="L59">
        <f>BDP(A59,"ISSUER")</f>
        <v/>
      </c>
      <c r="M59">
        <f>BDP(A59,"CNTRY_OF_RISK")</f>
        <v/>
      </c>
      <c r="N59">
        <f>BDP(A59,"INDUSTRY_SECTOR")</f>
        <v/>
      </c>
      <c r="O59">
        <f>BDP(A59,"PAYMENT_RANK")</f>
        <v/>
      </c>
      <c r="Q59">
        <f>BDP(A59,"RTG_SP")</f>
        <v/>
      </c>
      <c r="R59">
        <f>BDP(A59,"RTG_MOODY")</f>
        <v/>
      </c>
      <c r="S59">
        <f>BDP(A59,"RTG_FITCH")</f>
        <v/>
      </c>
    </row>
    <row r="60">
      <c r="B60">
        <f>BDP(A60,"SECURITY_DES")</f>
        <v/>
      </c>
      <c r="C60">
        <f>BDP(A60,"CRNCY")</f>
        <v/>
      </c>
      <c r="D60">
        <f>BDP(A60,"CNTRY_OF_RISK")</f>
        <v/>
      </c>
      <c r="E60">
        <f>BDP(A60,"CPN")/100</f>
        <v/>
      </c>
      <c r="F60">
        <f>BDP(A60,"CPN_FREQ")</f>
        <v/>
      </c>
      <c r="G60">
        <f>BDP(A60,"DAY_CNT_DES")</f>
        <v/>
      </c>
      <c r="H60">
        <f>BDP(A60,"MATURITY")</f>
        <v/>
      </c>
      <c r="I60">
        <f>BDP(A60,"FIRST_CPN_DT")</f>
        <v/>
      </c>
      <c r="J60">
        <f>BDP(A60,"ID_ISIN")</f>
        <v/>
      </c>
      <c r="K60">
        <f>BDP(A60,"MARKET_SECTOR_DES")</f>
        <v/>
      </c>
      <c r="L60">
        <f>BDP(A60,"ISSUER")</f>
        <v/>
      </c>
      <c r="M60">
        <f>BDP(A60,"CNTRY_OF_RISK")</f>
        <v/>
      </c>
      <c r="N60">
        <f>BDP(A60,"INDUSTRY_SECTOR")</f>
        <v/>
      </c>
      <c r="O60">
        <f>BDP(A60,"PAYMENT_RANK")</f>
        <v/>
      </c>
      <c r="Q60">
        <f>BDP(A60,"RTG_SP")</f>
        <v/>
      </c>
      <c r="R60">
        <f>BDP(A60,"RTG_MOODY")</f>
        <v/>
      </c>
      <c r="S60">
        <f>BDP(A60,"RTG_FITCH")</f>
        <v/>
      </c>
    </row>
    <row r="61">
      <c r="B61">
        <f>BDP(A61,"SECURITY_DES")</f>
        <v/>
      </c>
      <c r="C61">
        <f>BDP(A61,"CRNCY")</f>
        <v/>
      </c>
      <c r="D61">
        <f>BDP(A61,"CNTRY_OF_RISK")</f>
        <v/>
      </c>
      <c r="E61">
        <f>BDP(A61,"CPN")/100</f>
        <v/>
      </c>
      <c r="F61">
        <f>BDP(A61,"CPN_FREQ")</f>
        <v/>
      </c>
      <c r="G61">
        <f>BDP(A61,"DAY_CNT_DES")</f>
        <v/>
      </c>
      <c r="H61">
        <f>BDP(A61,"MATURITY")</f>
        <v/>
      </c>
      <c r="I61">
        <f>BDP(A61,"FIRST_CPN_DT")</f>
        <v/>
      </c>
      <c r="J61">
        <f>BDP(A61,"ID_ISIN")</f>
        <v/>
      </c>
      <c r="K61">
        <f>BDP(A61,"MARKET_SECTOR_DES")</f>
        <v/>
      </c>
      <c r="L61">
        <f>BDP(A61,"ISSUER")</f>
        <v/>
      </c>
      <c r="M61">
        <f>BDP(A61,"CNTRY_OF_RISK")</f>
        <v/>
      </c>
      <c r="N61">
        <f>BDP(A61,"INDUSTRY_SECTOR")</f>
        <v/>
      </c>
      <c r="O61">
        <f>BDP(A61,"PAYMENT_RANK")</f>
        <v/>
      </c>
      <c r="Q61">
        <f>BDP(A61,"RTG_SP")</f>
        <v/>
      </c>
      <c r="R61">
        <f>BDP(A61,"RTG_MOODY")</f>
        <v/>
      </c>
      <c r="S61">
        <f>BDP(A61,"RTG_FITCH")</f>
        <v/>
      </c>
    </row>
    <row r="62">
      <c r="B62">
        <f>BDP(A62,"SECURITY_DES")</f>
        <v/>
      </c>
      <c r="C62">
        <f>BDP(A62,"CRNCY")</f>
        <v/>
      </c>
      <c r="D62">
        <f>BDP(A62,"CNTRY_OF_RISK")</f>
        <v/>
      </c>
      <c r="E62">
        <f>BDP(A62,"CPN")/100</f>
        <v/>
      </c>
      <c r="F62">
        <f>BDP(A62,"CPN_FREQ")</f>
        <v/>
      </c>
      <c r="G62">
        <f>BDP(A62,"DAY_CNT_DES")</f>
        <v/>
      </c>
      <c r="H62">
        <f>BDP(A62,"MATURITY")</f>
        <v/>
      </c>
      <c r="I62">
        <f>BDP(A62,"FIRST_CPN_DT")</f>
        <v/>
      </c>
      <c r="J62">
        <f>BDP(A62,"ID_ISIN")</f>
        <v/>
      </c>
      <c r="K62">
        <f>BDP(A62,"MARKET_SECTOR_DES")</f>
        <v/>
      </c>
      <c r="L62">
        <f>BDP(A62,"ISSUER")</f>
        <v/>
      </c>
      <c r="M62">
        <f>BDP(A62,"CNTRY_OF_RISK")</f>
        <v/>
      </c>
      <c r="N62">
        <f>BDP(A62,"INDUSTRY_SECTOR")</f>
        <v/>
      </c>
      <c r="O62">
        <f>BDP(A62,"PAYMENT_RANK")</f>
        <v/>
      </c>
      <c r="Q62">
        <f>BDP(A62,"RTG_SP")</f>
        <v/>
      </c>
      <c r="R62">
        <f>BDP(A62,"RTG_MOODY")</f>
        <v/>
      </c>
      <c r="S62">
        <f>BDP(A62,"RTG_FITCH")</f>
        <v/>
      </c>
    </row>
    <row r="63">
      <c r="B63">
        <f>BDP(A63,"SECURITY_DES")</f>
        <v/>
      </c>
      <c r="C63">
        <f>BDP(A63,"CRNCY")</f>
        <v/>
      </c>
      <c r="D63">
        <f>BDP(A63,"CNTRY_OF_RISK")</f>
        <v/>
      </c>
      <c r="E63">
        <f>BDP(A63,"CPN")/100</f>
        <v/>
      </c>
      <c r="F63">
        <f>BDP(A63,"CPN_FREQ")</f>
        <v/>
      </c>
      <c r="G63">
        <f>BDP(A63,"DAY_CNT_DES")</f>
        <v/>
      </c>
      <c r="H63">
        <f>BDP(A63,"MATURITY")</f>
        <v/>
      </c>
      <c r="I63">
        <f>BDP(A63,"FIRST_CPN_DT")</f>
        <v/>
      </c>
      <c r="J63">
        <f>BDP(A63,"ID_ISIN")</f>
        <v/>
      </c>
      <c r="K63">
        <f>BDP(A63,"MARKET_SECTOR_DES")</f>
        <v/>
      </c>
      <c r="L63">
        <f>BDP(A63,"ISSUER")</f>
        <v/>
      </c>
      <c r="M63">
        <f>BDP(A63,"CNTRY_OF_RISK")</f>
        <v/>
      </c>
      <c r="N63">
        <f>BDP(A63,"INDUSTRY_SECTOR")</f>
        <v/>
      </c>
      <c r="O63">
        <f>BDP(A63,"PAYMENT_RANK")</f>
        <v/>
      </c>
      <c r="Q63">
        <f>BDP(A63,"RTG_SP")</f>
        <v/>
      </c>
      <c r="R63">
        <f>BDP(A63,"RTG_MOODY")</f>
        <v/>
      </c>
      <c r="S63">
        <f>BDP(A63,"RTG_FITCH")</f>
        <v/>
      </c>
    </row>
    <row r="64">
      <c r="B64">
        <f>BDP(A64,"SECURITY_DES")</f>
        <v/>
      </c>
      <c r="C64">
        <f>BDP(A64,"CRNCY")</f>
        <v/>
      </c>
      <c r="D64">
        <f>BDP(A64,"CNTRY_OF_RISK")</f>
        <v/>
      </c>
      <c r="E64">
        <f>BDP(A64,"CPN")/100</f>
        <v/>
      </c>
      <c r="F64">
        <f>BDP(A64,"CPN_FREQ")</f>
        <v/>
      </c>
      <c r="G64">
        <f>BDP(A64,"DAY_CNT_DES")</f>
        <v/>
      </c>
      <c r="H64">
        <f>BDP(A64,"MATURITY")</f>
        <v/>
      </c>
      <c r="I64">
        <f>BDP(A64,"FIRST_CPN_DT")</f>
        <v/>
      </c>
      <c r="J64">
        <f>BDP(A64,"ID_ISIN")</f>
        <v/>
      </c>
      <c r="K64">
        <f>BDP(A64,"MARKET_SECTOR_DES")</f>
        <v/>
      </c>
      <c r="L64">
        <f>BDP(A64,"ISSUER")</f>
        <v/>
      </c>
      <c r="M64">
        <f>BDP(A64,"CNTRY_OF_RISK")</f>
        <v/>
      </c>
      <c r="N64">
        <f>BDP(A64,"INDUSTRY_SECTOR")</f>
        <v/>
      </c>
      <c r="O64">
        <f>BDP(A64,"PAYMENT_RANK")</f>
        <v/>
      </c>
      <c r="Q64">
        <f>BDP(A64,"RTG_SP")</f>
        <v/>
      </c>
      <c r="R64">
        <f>BDP(A64,"RTG_MOODY")</f>
        <v/>
      </c>
      <c r="S64">
        <f>BDP(A64,"RTG_FITCH")</f>
        <v/>
      </c>
    </row>
    <row r="65">
      <c r="B65">
        <f>BDP(A65,"SECURITY_DES")</f>
        <v/>
      </c>
      <c r="C65">
        <f>BDP(A65,"CRNCY")</f>
        <v/>
      </c>
      <c r="D65">
        <f>BDP(A65,"CNTRY_OF_RISK")</f>
        <v/>
      </c>
      <c r="E65">
        <f>BDP(A65,"CPN")/100</f>
        <v/>
      </c>
      <c r="F65">
        <f>BDP(A65,"CPN_FREQ")</f>
        <v/>
      </c>
      <c r="G65">
        <f>BDP(A65,"DAY_CNT_DES")</f>
        <v/>
      </c>
      <c r="H65">
        <f>BDP(A65,"MATURITY")</f>
        <v/>
      </c>
      <c r="I65">
        <f>BDP(A65,"FIRST_CPN_DT")</f>
        <v/>
      </c>
      <c r="J65">
        <f>BDP(A65,"ID_ISIN")</f>
        <v/>
      </c>
      <c r="K65">
        <f>BDP(A65,"MARKET_SECTOR_DES")</f>
        <v/>
      </c>
      <c r="L65">
        <f>BDP(A65,"ISSUER")</f>
        <v/>
      </c>
      <c r="M65">
        <f>BDP(A65,"CNTRY_OF_RISK")</f>
        <v/>
      </c>
      <c r="N65">
        <f>BDP(A65,"INDUSTRY_SECTOR")</f>
        <v/>
      </c>
      <c r="O65">
        <f>BDP(A65,"PAYMENT_RANK")</f>
        <v/>
      </c>
      <c r="Q65">
        <f>BDP(A65,"RTG_SP")</f>
        <v/>
      </c>
      <c r="R65">
        <f>BDP(A65,"RTG_MOODY")</f>
        <v/>
      </c>
      <c r="S65">
        <f>BDP(A65,"RTG_FITCH")</f>
        <v/>
      </c>
    </row>
    <row r="66">
      <c r="B66">
        <f>BDP(A66,"SECURITY_DES")</f>
        <v/>
      </c>
      <c r="C66">
        <f>BDP(A66,"CRNCY")</f>
        <v/>
      </c>
      <c r="D66">
        <f>BDP(A66,"CNTRY_OF_RISK")</f>
        <v/>
      </c>
      <c r="E66">
        <f>BDP(A66,"CPN")/100</f>
        <v/>
      </c>
      <c r="F66">
        <f>BDP(A66,"CPN_FREQ")</f>
        <v/>
      </c>
      <c r="G66">
        <f>BDP(A66,"DAY_CNT_DES")</f>
        <v/>
      </c>
      <c r="H66">
        <f>BDP(A66,"MATURITY")</f>
        <v/>
      </c>
      <c r="I66">
        <f>BDP(A66,"FIRST_CPN_DT")</f>
        <v/>
      </c>
      <c r="J66">
        <f>BDP(A66,"ID_ISIN")</f>
        <v/>
      </c>
      <c r="K66">
        <f>BDP(A66,"MARKET_SECTOR_DES")</f>
        <v/>
      </c>
      <c r="L66">
        <f>BDP(A66,"ISSUER")</f>
        <v/>
      </c>
      <c r="M66">
        <f>BDP(A66,"CNTRY_OF_RISK")</f>
        <v/>
      </c>
      <c r="N66">
        <f>BDP(A66,"INDUSTRY_SECTOR")</f>
        <v/>
      </c>
      <c r="O66">
        <f>BDP(A66,"PAYMENT_RANK")</f>
        <v/>
      </c>
      <c r="Q66">
        <f>BDP(A66,"RTG_SP")</f>
        <v/>
      </c>
      <c r="R66">
        <f>BDP(A66,"RTG_MOODY")</f>
        <v/>
      </c>
      <c r="S66">
        <f>BDP(A66,"RTG_FITCH")</f>
        <v/>
      </c>
    </row>
    <row r="67">
      <c r="B67">
        <f>BDP(A67,"SECURITY_DES")</f>
        <v/>
      </c>
      <c r="C67">
        <f>BDP(A67,"CRNCY")</f>
        <v/>
      </c>
      <c r="D67">
        <f>BDP(A67,"CNTRY_OF_RISK")</f>
        <v/>
      </c>
      <c r="E67">
        <f>BDP(A67,"CPN")/100</f>
        <v/>
      </c>
      <c r="F67">
        <f>BDP(A67,"CPN_FREQ")</f>
        <v/>
      </c>
      <c r="G67">
        <f>BDP(A67,"DAY_CNT_DES")</f>
        <v/>
      </c>
      <c r="H67">
        <f>BDP(A67,"MATURITY")</f>
        <v/>
      </c>
      <c r="I67">
        <f>BDP(A67,"FIRST_CPN_DT")</f>
        <v/>
      </c>
      <c r="J67">
        <f>BDP(A67,"ID_ISIN")</f>
        <v/>
      </c>
      <c r="K67">
        <f>BDP(A67,"MARKET_SECTOR_DES")</f>
        <v/>
      </c>
      <c r="L67">
        <f>BDP(A67,"ISSUER")</f>
        <v/>
      </c>
      <c r="M67">
        <f>BDP(A67,"CNTRY_OF_RISK")</f>
        <v/>
      </c>
      <c r="N67">
        <f>BDP(A67,"INDUSTRY_SECTOR")</f>
        <v/>
      </c>
      <c r="O67">
        <f>BDP(A67,"PAYMENT_RANK")</f>
        <v/>
      </c>
      <c r="Q67">
        <f>BDP(A67,"RTG_SP")</f>
        <v/>
      </c>
      <c r="R67">
        <f>BDP(A67,"RTG_MOODY")</f>
        <v/>
      </c>
      <c r="S67">
        <f>BDP(A67,"RTG_FITCH")</f>
        <v/>
      </c>
    </row>
    <row r="68">
      <c r="B68">
        <f>BDP(A68,"SECURITY_DES")</f>
        <v/>
      </c>
      <c r="C68">
        <f>BDP(A68,"CRNCY")</f>
        <v/>
      </c>
      <c r="D68">
        <f>BDP(A68,"CNTRY_OF_RISK")</f>
        <v/>
      </c>
      <c r="E68">
        <f>BDP(A68,"CPN")/100</f>
        <v/>
      </c>
      <c r="F68">
        <f>BDP(A68,"CPN_FREQ")</f>
        <v/>
      </c>
      <c r="G68">
        <f>BDP(A68,"DAY_CNT_DES")</f>
        <v/>
      </c>
      <c r="H68">
        <f>BDP(A68,"MATURITY")</f>
        <v/>
      </c>
      <c r="I68">
        <f>BDP(A68,"FIRST_CPN_DT")</f>
        <v/>
      </c>
      <c r="J68">
        <f>BDP(A68,"ID_ISIN")</f>
        <v/>
      </c>
      <c r="K68">
        <f>BDP(A68,"MARKET_SECTOR_DES")</f>
        <v/>
      </c>
      <c r="L68">
        <f>BDP(A68,"ISSUER")</f>
        <v/>
      </c>
      <c r="M68">
        <f>BDP(A68,"CNTRY_OF_RISK")</f>
        <v/>
      </c>
      <c r="N68">
        <f>BDP(A68,"INDUSTRY_SECTOR")</f>
        <v/>
      </c>
      <c r="O68">
        <f>BDP(A68,"PAYMENT_RANK")</f>
        <v/>
      </c>
      <c r="Q68">
        <f>BDP(A68,"RTG_SP")</f>
        <v/>
      </c>
      <c r="R68">
        <f>BDP(A68,"RTG_MOODY")</f>
        <v/>
      </c>
      <c r="S68">
        <f>BDP(A68,"RTG_FITCH")</f>
        <v/>
      </c>
    </row>
    <row r="69">
      <c r="B69">
        <f>BDP(A69,"SECURITY_DES")</f>
        <v/>
      </c>
      <c r="C69">
        <f>BDP(A69,"CRNCY")</f>
        <v/>
      </c>
      <c r="D69">
        <f>BDP(A69,"CNTRY_OF_RISK")</f>
        <v/>
      </c>
      <c r="E69">
        <f>BDP(A69,"CPN")/100</f>
        <v/>
      </c>
      <c r="F69">
        <f>BDP(A69,"CPN_FREQ")</f>
        <v/>
      </c>
      <c r="G69">
        <f>BDP(A69,"DAY_CNT_DES")</f>
        <v/>
      </c>
      <c r="H69">
        <f>BDP(A69,"MATURITY")</f>
        <v/>
      </c>
      <c r="I69">
        <f>BDP(A69,"FIRST_CPN_DT")</f>
        <v/>
      </c>
      <c r="J69">
        <f>BDP(A69,"ID_ISIN")</f>
        <v/>
      </c>
      <c r="K69">
        <f>BDP(A69,"MARKET_SECTOR_DES")</f>
        <v/>
      </c>
      <c r="L69">
        <f>BDP(A69,"ISSUER")</f>
        <v/>
      </c>
      <c r="M69">
        <f>BDP(A69,"CNTRY_OF_RISK")</f>
        <v/>
      </c>
      <c r="N69">
        <f>BDP(A69,"INDUSTRY_SECTOR")</f>
        <v/>
      </c>
      <c r="O69">
        <f>BDP(A69,"PAYMENT_RANK")</f>
        <v/>
      </c>
      <c r="Q69">
        <f>BDP(A69,"RTG_SP")</f>
        <v/>
      </c>
      <c r="R69">
        <f>BDP(A69,"RTG_MOODY")</f>
        <v/>
      </c>
      <c r="S69">
        <f>BDP(A69,"RTG_FITCH")</f>
        <v/>
      </c>
    </row>
    <row r="70">
      <c r="B70">
        <f>BDP(A70,"SECURITY_DES")</f>
        <v/>
      </c>
      <c r="C70">
        <f>BDP(A70,"CRNCY")</f>
        <v/>
      </c>
      <c r="D70">
        <f>BDP(A70,"CNTRY_OF_RISK")</f>
        <v/>
      </c>
      <c r="E70">
        <f>BDP(A70,"CPN")/100</f>
        <v/>
      </c>
      <c r="F70">
        <f>BDP(A70,"CPN_FREQ")</f>
        <v/>
      </c>
      <c r="G70">
        <f>BDP(A70,"DAY_CNT_DES")</f>
        <v/>
      </c>
      <c r="H70">
        <f>BDP(A70,"MATURITY")</f>
        <v/>
      </c>
      <c r="I70">
        <f>BDP(A70,"FIRST_CPN_DT")</f>
        <v/>
      </c>
      <c r="J70">
        <f>BDP(A70,"ID_ISIN")</f>
        <v/>
      </c>
      <c r="K70">
        <f>BDP(A70,"MARKET_SECTOR_DES")</f>
        <v/>
      </c>
      <c r="L70">
        <f>BDP(A70,"ISSUER")</f>
        <v/>
      </c>
      <c r="M70">
        <f>BDP(A70,"CNTRY_OF_RISK")</f>
        <v/>
      </c>
      <c r="N70">
        <f>BDP(A70,"INDUSTRY_SECTOR")</f>
        <v/>
      </c>
      <c r="O70">
        <f>BDP(A70,"PAYMENT_RANK")</f>
        <v/>
      </c>
      <c r="Q70">
        <f>BDP(A70,"RTG_SP")</f>
        <v/>
      </c>
      <c r="R70">
        <f>BDP(A70,"RTG_MOODY")</f>
        <v/>
      </c>
      <c r="S70">
        <f>BDP(A70,"RTG_FITCH")</f>
        <v/>
      </c>
    </row>
    <row r="71">
      <c r="B71">
        <f>BDP(A71,"SECURITY_DES")</f>
        <v/>
      </c>
      <c r="C71">
        <f>BDP(A71,"CRNCY")</f>
        <v/>
      </c>
      <c r="D71">
        <f>BDP(A71,"CNTRY_OF_RISK")</f>
        <v/>
      </c>
      <c r="E71">
        <f>BDP(A71,"CPN")/100</f>
        <v/>
      </c>
      <c r="F71">
        <f>BDP(A71,"CPN_FREQ")</f>
        <v/>
      </c>
      <c r="G71">
        <f>BDP(A71,"DAY_CNT_DES")</f>
        <v/>
      </c>
      <c r="H71">
        <f>BDP(A71,"MATURITY")</f>
        <v/>
      </c>
      <c r="I71">
        <f>BDP(A71,"FIRST_CPN_DT")</f>
        <v/>
      </c>
      <c r="J71">
        <f>BDP(A71,"ID_ISIN")</f>
        <v/>
      </c>
      <c r="K71">
        <f>BDP(A71,"MARKET_SECTOR_DES")</f>
        <v/>
      </c>
      <c r="L71">
        <f>BDP(A71,"ISSUER")</f>
        <v/>
      </c>
      <c r="M71">
        <f>BDP(A71,"CNTRY_OF_RISK")</f>
        <v/>
      </c>
      <c r="N71">
        <f>BDP(A71,"INDUSTRY_SECTOR")</f>
        <v/>
      </c>
      <c r="O71">
        <f>BDP(A71,"PAYMENT_RANK")</f>
        <v/>
      </c>
      <c r="Q71">
        <f>BDP(A71,"RTG_SP")</f>
        <v/>
      </c>
      <c r="R71">
        <f>BDP(A71,"RTG_MOODY")</f>
        <v/>
      </c>
      <c r="S71">
        <f>BDP(A71,"RTG_FITCH")</f>
        <v/>
      </c>
    </row>
    <row r="72">
      <c r="B72">
        <f>BDP(A72,"SECURITY_DES")</f>
        <v/>
      </c>
      <c r="C72">
        <f>BDP(A72,"CRNCY")</f>
        <v/>
      </c>
      <c r="D72">
        <f>BDP(A72,"CNTRY_OF_RISK")</f>
        <v/>
      </c>
      <c r="E72">
        <f>BDP(A72,"CPN")/100</f>
        <v/>
      </c>
      <c r="F72">
        <f>BDP(A72,"CPN_FREQ")</f>
        <v/>
      </c>
      <c r="G72">
        <f>BDP(A72,"DAY_CNT_DES")</f>
        <v/>
      </c>
      <c r="H72">
        <f>BDP(A72,"MATURITY")</f>
        <v/>
      </c>
      <c r="I72">
        <f>BDP(A72,"FIRST_CPN_DT")</f>
        <v/>
      </c>
      <c r="J72">
        <f>BDP(A72,"ID_ISIN")</f>
        <v/>
      </c>
      <c r="K72">
        <f>BDP(A72,"MARKET_SECTOR_DES")</f>
        <v/>
      </c>
      <c r="L72">
        <f>BDP(A72,"ISSUER")</f>
        <v/>
      </c>
      <c r="M72">
        <f>BDP(A72,"CNTRY_OF_RISK")</f>
        <v/>
      </c>
      <c r="N72">
        <f>BDP(A72,"INDUSTRY_SECTOR")</f>
        <v/>
      </c>
      <c r="O72">
        <f>BDP(A72,"PAYMENT_RANK")</f>
        <v/>
      </c>
      <c r="Q72">
        <f>BDP(A72,"RTG_SP")</f>
        <v/>
      </c>
      <c r="R72">
        <f>BDP(A72,"RTG_MOODY")</f>
        <v/>
      </c>
      <c r="S72">
        <f>BDP(A72,"RTG_FITCH")</f>
        <v/>
      </c>
    </row>
    <row r="73">
      <c r="B73">
        <f>BDP(A73,"SECURITY_DES")</f>
        <v/>
      </c>
      <c r="C73">
        <f>BDP(A73,"CRNCY")</f>
        <v/>
      </c>
      <c r="D73">
        <f>BDP(A73,"CNTRY_OF_RISK")</f>
        <v/>
      </c>
      <c r="E73">
        <f>BDP(A73,"CPN")/100</f>
        <v/>
      </c>
      <c r="F73">
        <f>BDP(A73,"CPN_FREQ")</f>
        <v/>
      </c>
      <c r="G73">
        <f>BDP(A73,"DAY_CNT_DES")</f>
        <v/>
      </c>
      <c r="H73">
        <f>BDP(A73,"MATURITY")</f>
        <v/>
      </c>
      <c r="I73">
        <f>BDP(A73,"FIRST_CPN_DT")</f>
        <v/>
      </c>
      <c r="J73">
        <f>BDP(A73,"ID_ISIN")</f>
        <v/>
      </c>
      <c r="K73">
        <f>BDP(A73,"MARKET_SECTOR_DES")</f>
        <v/>
      </c>
      <c r="L73">
        <f>BDP(A73,"ISSUER")</f>
        <v/>
      </c>
      <c r="M73">
        <f>BDP(A73,"CNTRY_OF_RISK")</f>
        <v/>
      </c>
      <c r="N73">
        <f>BDP(A73,"INDUSTRY_SECTOR")</f>
        <v/>
      </c>
      <c r="O73">
        <f>BDP(A73,"PAYMENT_RANK")</f>
        <v/>
      </c>
      <c r="Q73">
        <f>BDP(A73,"RTG_SP")</f>
        <v/>
      </c>
      <c r="R73">
        <f>BDP(A73,"RTG_MOODY")</f>
        <v/>
      </c>
      <c r="S73">
        <f>BDP(A73,"RTG_FITCH")</f>
        <v/>
      </c>
    </row>
    <row r="74">
      <c r="B74">
        <f>BDP(A74,"SECURITY_DES")</f>
        <v/>
      </c>
      <c r="C74">
        <f>BDP(A74,"CRNCY")</f>
        <v/>
      </c>
      <c r="D74">
        <f>BDP(A74,"CNTRY_OF_RISK")</f>
        <v/>
      </c>
      <c r="E74">
        <f>BDP(A74,"CPN")/100</f>
        <v/>
      </c>
      <c r="F74">
        <f>BDP(A74,"CPN_FREQ")</f>
        <v/>
      </c>
      <c r="G74">
        <f>BDP(A74,"DAY_CNT_DES")</f>
        <v/>
      </c>
      <c r="H74">
        <f>BDP(A74,"MATURITY")</f>
        <v/>
      </c>
      <c r="I74">
        <f>BDP(A74,"FIRST_CPN_DT")</f>
        <v/>
      </c>
      <c r="J74">
        <f>BDP(A74,"ID_ISIN")</f>
        <v/>
      </c>
      <c r="K74">
        <f>BDP(A74,"MARKET_SECTOR_DES")</f>
        <v/>
      </c>
      <c r="L74">
        <f>BDP(A74,"ISSUER")</f>
        <v/>
      </c>
      <c r="M74">
        <f>BDP(A74,"CNTRY_OF_RISK")</f>
        <v/>
      </c>
      <c r="N74">
        <f>BDP(A74,"INDUSTRY_SECTOR")</f>
        <v/>
      </c>
      <c r="O74">
        <f>BDP(A74,"PAYMENT_RANK")</f>
        <v/>
      </c>
      <c r="Q74">
        <f>BDP(A74,"RTG_SP")</f>
        <v/>
      </c>
      <c r="R74">
        <f>BDP(A74,"RTG_MOODY")</f>
        <v/>
      </c>
      <c r="S74">
        <f>BDP(A74,"RTG_FITCH")</f>
        <v/>
      </c>
    </row>
    <row r="75">
      <c r="B75">
        <f>BDP(A75,"SECURITY_DES")</f>
        <v/>
      </c>
      <c r="C75">
        <f>BDP(A75,"CRNCY")</f>
        <v/>
      </c>
      <c r="D75">
        <f>BDP(A75,"CNTRY_OF_RISK")</f>
        <v/>
      </c>
      <c r="E75">
        <f>BDP(A75,"CPN")/100</f>
        <v/>
      </c>
      <c r="F75">
        <f>BDP(A75,"CPN_FREQ")</f>
        <v/>
      </c>
      <c r="G75">
        <f>BDP(A75,"DAY_CNT_DES")</f>
        <v/>
      </c>
      <c r="H75">
        <f>BDP(A75,"MATURITY")</f>
        <v/>
      </c>
      <c r="I75">
        <f>BDP(A75,"FIRST_CPN_DT")</f>
        <v/>
      </c>
      <c r="J75">
        <f>BDP(A75,"ID_ISIN")</f>
        <v/>
      </c>
      <c r="K75">
        <f>BDP(A75,"MARKET_SECTOR_DES")</f>
        <v/>
      </c>
      <c r="L75">
        <f>BDP(A75,"ISSUER")</f>
        <v/>
      </c>
      <c r="M75">
        <f>BDP(A75,"CNTRY_OF_RISK")</f>
        <v/>
      </c>
      <c r="N75">
        <f>BDP(A75,"INDUSTRY_SECTOR")</f>
        <v/>
      </c>
      <c r="O75">
        <f>BDP(A75,"PAYMENT_RANK")</f>
        <v/>
      </c>
      <c r="Q75">
        <f>BDP(A75,"RTG_SP")</f>
        <v/>
      </c>
      <c r="R75">
        <f>BDP(A75,"RTG_MOODY")</f>
        <v/>
      </c>
      <c r="S75">
        <f>BDP(A75,"RTG_FITCH")</f>
        <v/>
      </c>
    </row>
    <row r="76">
      <c r="B76">
        <f>BDP(A76,"SECURITY_DES")</f>
        <v/>
      </c>
      <c r="C76">
        <f>BDP(A76,"CRNCY")</f>
        <v/>
      </c>
      <c r="D76">
        <f>BDP(A76,"CNTRY_OF_RISK")</f>
        <v/>
      </c>
      <c r="E76">
        <f>BDP(A76,"CPN")/100</f>
        <v/>
      </c>
      <c r="F76">
        <f>BDP(A76,"CPN_FREQ")</f>
        <v/>
      </c>
      <c r="G76">
        <f>BDP(A76,"DAY_CNT_DES")</f>
        <v/>
      </c>
      <c r="H76">
        <f>BDP(A76,"MATURITY")</f>
        <v/>
      </c>
      <c r="I76">
        <f>BDP(A76,"FIRST_CPN_DT")</f>
        <v/>
      </c>
      <c r="J76">
        <f>BDP(A76,"ID_ISIN")</f>
        <v/>
      </c>
      <c r="K76">
        <f>BDP(A76,"MARKET_SECTOR_DES")</f>
        <v/>
      </c>
      <c r="L76">
        <f>BDP(A76,"ISSUER")</f>
        <v/>
      </c>
      <c r="M76">
        <f>BDP(A76,"CNTRY_OF_RISK")</f>
        <v/>
      </c>
      <c r="N76">
        <f>BDP(A76,"INDUSTRY_SECTOR")</f>
        <v/>
      </c>
      <c r="O76">
        <f>BDP(A76,"PAYMENT_RANK")</f>
        <v/>
      </c>
      <c r="Q76">
        <f>BDP(A76,"RTG_SP")</f>
        <v/>
      </c>
      <c r="R76">
        <f>BDP(A76,"RTG_MOODY")</f>
        <v/>
      </c>
      <c r="S76">
        <f>BDP(A76,"RTG_FITCH")</f>
        <v/>
      </c>
    </row>
    <row r="77">
      <c r="B77">
        <f>BDP(A77,"SECURITY_DES")</f>
        <v/>
      </c>
      <c r="C77">
        <f>BDP(A77,"CRNCY")</f>
        <v/>
      </c>
      <c r="D77">
        <f>BDP(A77,"CNTRY_OF_RISK")</f>
        <v/>
      </c>
      <c r="E77">
        <f>BDP(A77,"CPN")/100</f>
        <v/>
      </c>
      <c r="F77">
        <f>BDP(A77,"CPN_FREQ")</f>
        <v/>
      </c>
      <c r="G77">
        <f>BDP(A77,"DAY_CNT_DES")</f>
        <v/>
      </c>
      <c r="H77">
        <f>BDP(A77,"MATURITY")</f>
        <v/>
      </c>
      <c r="I77">
        <f>BDP(A77,"FIRST_CPN_DT")</f>
        <v/>
      </c>
      <c r="J77">
        <f>BDP(A77,"ID_ISIN")</f>
        <v/>
      </c>
      <c r="K77">
        <f>BDP(A77,"MARKET_SECTOR_DES")</f>
        <v/>
      </c>
      <c r="L77">
        <f>BDP(A77,"ISSUER")</f>
        <v/>
      </c>
      <c r="M77">
        <f>BDP(A77,"CNTRY_OF_RISK")</f>
        <v/>
      </c>
      <c r="N77">
        <f>BDP(A77,"INDUSTRY_SECTOR")</f>
        <v/>
      </c>
      <c r="O77">
        <f>BDP(A77,"PAYMENT_RANK")</f>
        <v/>
      </c>
      <c r="Q77">
        <f>BDP(A77,"RTG_SP")</f>
        <v/>
      </c>
      <c r="R77">
        <f>BDP(A77,"RTG_MOODY")</f>
        <v/>
      </c>
      <c r="S77">
        <f>BDP(A77,"RTG_FITCH")</f>
        <v/>
      </c>
    </row>
    <row r="78">
      <c r="B78">
        <f>BDP(A78,"SECURITY_DES")</f>
        <v/>
      </c>
      <c r="C78">
        <f>BDP(A78,"CRNCY")</f>
        <v/>
      </c>
      <c r="D78">
        <f>BDP(A78,"CNTRY_OF_RISK")</f>
        <v/>
      </c>
      <c r="E78">
        <f>BDP(A78,"CPN")/100</f>
        <v/>
      </c>
      <c r="F78">
        <f>BDP(A78,"CPN_FREQ")</f>
        <v/>
      </c>
      <c r="G78">
        <f>BDP(A78,"DAY_CNT_DES")</f>
        <v/>
      </c>
      <c r="H78">
        <f>BDP(A78,"MATURITY")</f>
        <v/>
      </c>
      <c r="I78">
        <f>BDP(A78,"FIRST_CPN_DT")</f>
        <v/>
      </c>
      <c r="J78">
        <f>BDP(A78,"ID_ISIN")</f>
        <v/>
      </c>
      <c r="K78">
        <f>BDP(A78,"MARKET_SECTOR_DES")</f>
        <v/>
      </c>
      <c r="L78">
        <f>BDP(A78,"ISSUER")</f>
        <v/>
      </c>
      <c r="M78">
        <f>BDP(A78,"CNTRY_OF_RISK")</f>
        <v/>
      </c>
      <c r="N78">
        <f>BDP(A78,"INDUSTRY_SECTOR")</f>
        <v/>
      </c>
      <c r="O78">
        <f>BDP(A78,"PAYMENT_RANK")</f>
        <v/>
      </c>
      <c r="Q78">
        <f>BDP(A78,"RTG_SP")</f>
        <v/>
      </c>
      <c r="R78">
        <f>BDP(A78,"RTG_MOODY")</f>
        <v/>
      </c>
      <c r="S78">
        <f>BDP(A78,"RTG_FITCH")</f>
        <v/>
      </c>
    </row>
    <row r="79">
      <c r="B79">
        <f>BDP(A79,"SECURITY_DES")</f>
        <v/>
      </c>
      <c r="C79">
        <f>BDP(A79,"CRNCY")</f>
        <v/>
      </c>
      <c r="D79">
        <f>BDP(A79,"CNTRY_OF_RISK")</f>
        <v/>
      </c>
      <c r="E79">
        <f>BDP(A79,"CPN")/100</f>
        <v/>
      </c>
      <c r="F79">
        <f>BDP(A79,"CPN_FREQ")</f>
        <v/>
      </c>
      <c r="G79">
        <f>BDP(A79,"DAY_CNT_DES")</f>
        <v/>
      </c>
      <c r="H79">
        <f>BDP(A79,"MATURITY")</f>
        <v/>
      </c>
      <c r="I79">
        <f>BDP(A79,"FIRST_CPN_DT")</f>
        <v/>
      </c>
      <c r="J79">
        <f>BDP(A79,"ID_ISIN")</f>
        <v/>
      </c>
      <c r="K79">
        <f>BDP(A79,"MARKET_SECTOR_DES")</f>
        <v/>
      </c>
      <c r="L79">
        <f>BDP(A79,"ISSUER")</f>
        <v/>
      </c>
      <c r="M79">
        <f>BDP(A79,"CNTRY_OF_RISK")</f>
        <v/>
      </c>
      <c r="N79">
        <f>BDP(A79,"INDUSTRY_SECTOR")</f>
        <v/>
      </c>
      <c r="O79">
        <f>BDP(A79,"PAYMENT_RANK")</f>
        <v/>
      </c>
      <c r="Q79">
        <f>BDP(A79,"RTG_SP")</f>
        <v/>
      </c>
      <c r="R79">
        <f>BDP(A79,"RTG_MOODY")</f>
        <v/>
      </c>
      <c r="S79">
        <f>BDP(A79,"RTG_FITCH")</f>
        <v/>
      </c>
    </row>
    <row r="80">
      <c r="B80">
        <f>BDP(A80,"SECURITY_DES")</f>
        <v/>
      </c>
      <c r="C80">
        <f>BDP(A80,"CRNCY")</f>
        <v/>
      </c>
      <c r="D80">
        <f>BDP(A80,"CNTRY_OF_RISK")</f>
        <v/>
      </c>
      <c r="E80">
        <f>BDP(A80,"CPN")/100</f>
        <v/>
      </c>
      <c r="F80">
        <f>BDP(A80,"CPN_FREQ")</f>
        <v/>
      </c>
      <c r="G80">
        <f>BDP(A80,"DAY_CNT_DES")</f>
        <v/>
      </c>
      <c r="H80">
        <f>BDP(A80,"MATURITY")</f>
        <v/>
      </c>
      <c r="I80">
        <f>BDP(A80,"FIRST_CPN_DT")</f>
        <v/>
      </c>
      <c r="J80">
        <f>BDP(A80,"ID_ISIN")</f>
        <v/>
      </c>
      <c r="K80">
        <f>BDP(A80,"MARKET_SECTOR_DES")</f>
        <v/>
      </c>
      <c r="L80">
        <f>BDP(A80,"ISSUER")</f>
        <v/>
      </c>
      <c r="M80">
        <f>BDP(A80,"CNTRY_OF_RISK")</f>
        <v/>
      </c>
      <c r="N80">
        <f>BDP(A80,"INDUSTRY_SECTOR")</f>
        <v/>
      </c>
      <c r="O80">
        <f>BDP(A80,"PAYMENT_RANK")</f>
        <v/>
      </c>
      <c r="Q80">
        <f>BDP(A80,"RTG_SP")</f>
        <v/>
      </c>
      <c r="R80">
        <f>BDP(A80,"RTG_MOODY")</f>
        <v/>
      </c>
      <c r="S80">
        <f>BDP(A80,"RTG_FITCH")</f>
        <v/>
      </c>
    </row>
    <row r="81">
      <c r="B81">
        <f>BDP(A81,"SECURITY_DES")</f>
        <v/>
      </c>
      <c r="C81">
        <f>BDP(A81,"CRNCY")</f>
        <v/>
      </c>
      <c r="D81">
        <f>BDP(A81,"CNTRY_OF_RISK")</f>
        <v/>
      </c>
      <c r="E81">
        <f>BDP(A81,"CPN")/100</f>
        <v/>
      </c>
      <c r="F81">
        <f>BDP(A81,"CPN_FREQ")</f>
        <v/>
      </c>
      <c r="G81">
        <f>BDP(A81,"DAY_CNT_DES")</f>
        <v/>
      </c>
      <c r="H81">
        <f>BDP(A81,"MATURITY")</f>
        <v/>
      </c>
      <c r="I81">
        <f>BDP(A81,"FIRST_CPN_DT")</f>
        <v/>
      </c>
      <c r="J81">
        <f>BDP(A81,"ID_ISIN")</f>
        <v/>
      </c>
      <c r="K81">
        <f>BDP(A81,"MARKET_SECTOR_DES")</f>
        <v/>
      </c>
      <c r="L81">
        <f>BDP(A81,"ISSUER")</f>
        <v/>
      </c>
      <c r="M81">
        <f>BDP(A81,"CNTRY_OF_RISK")</f>
        <v/>
      </c>
      <c r="N81">
        <f>BDP(A81,"INDUSTRY_SECTOR")</f>
        <v/>
      </c>
      <c r="O81">
        <f>BDP(A81,"PAYMENT_RANK")</f>
        <v/>
      </c>
      <c r="Q81">
        <f>BDP(A81,"RTG_SP")</f>
        <v/>
      </c>
      <c r="R81">
        <f>BDP(A81,"RTG_MOODY")</f>
        <v/>
      </c>
      <c r="S81">
        <f>BDP(A81,"RTG_FITCH")</f>
        <v/>
      </c>
    </row>
    <row r="82">
      <c r="B82">
        <f>BDP(A82,"SECURITY_DES")</f>
        <v/>
      </c>
      <c r="C82">
        <f>BDP(A82,"CRNCY")</f>
        <v/>
      </c>
      <c r="D82">
        <f>BDP(A82,"CNTRY_OF_RISK")</f>
        <v/>
      </c>
      <c r="E82">
        <f>BDP(A82,"CPN")/100</f>
        <v/>
      </c>
      <c r="F82">
        <f>BDP(A82,"CPN_FREQ")</f>
        <v/>
      </c>
      <c r="G82">
        <f>BDP(A82,"DAY_CNT_DES")</f>
        <v/>
      </c>
      <c r="H82">
        <f>BDP(A82,"MATURITY")</f>
        <v/>
      </c>
      <c r="I82">
        <f>BDP(A82,"FIRST_CPN_DT")</f>
        <v/>
      </c>
      <c r="J82">
        <f>BDP(A82,"ID_ISIN")</f>
        <v/>
      </c>
      <c r="K82">
        <f>BDP(A82,"MARKET_SECTOR_DES")</f>
        <v/>
      </c>
      <c r="L82">
        <f>BDP(A82,"ISSUER")</f>
        <v/>
      </c>
      <c r="M82">
        <f>BDP(A82,"CNTRY_OF_RISK")</f>
        <v/>
      </c>
      <c r="N82">
        <f>BDP(A82,"INDUSTRY_SECTOR")</f>
        <v/>
      </c>
      <c r="O82">
        <f>BDP(A82,"PAYMENT_RANK")</f>
        <v/>
      </c>
      <c r="Q82">
        <f>BDP(A82,"RTG_SP")</f>
        <v/>
      </c>
      <c r="R82">
        <f>BDP(A82,"RTG_MOODY")</f>
        <v/>
      </c>
      <c r="S82">
        <f>BDP(A82,"RTG_FITCH")</f>
        <v/>
      </c>
    </row>
    <row r="83">
      <c r="B83">
        <f>BDP(A83,"SECURITY_DES")</f>
        <v/>
      </c>
      <c r="C83">
        <f>BDP(A83,"CRNCY")</f>
        <v/>
      </c>
      <c r="D83">
        <f>BDP(A83,"CNTRY_OF_RISK")</f>
        <v/>
      </c>
      <c r="E83">
        <f>BDP(A83,"CPN")/100</f>
        <v/>
      </c>
      <c r="F83">
        <f>BDP(A83,"CPN_FREQ")</f>
        <v/>
      </c>
      <c r="G83">
        <f>BDP(A83,"DAY_CNT_DES")</f>
        <v/>
      </c>
      <c r="H83">
        <f>BDP(A83,"MATURITY")</f>
        <v/>
      </c>
      <c r="I83">
        <f>BDP(A83,"FIRST_CPN_DT")</f>
        <v/>
      </c>
      <c r="J83">
        <f>BDP(A83,"ID_ISIN")</f>
        <v/>
      </c>
      <c r="K83">
        <f>BDP(A83,"MARKET_SECTOR_DES")</f>
        <v/>
      </c>
      <c r="L83">
        <f>BDP(A83,"ISSUER")</f>
        <v/>
      </c>
      <c r="M83">
        <f>BDP(A83,"CNTRY_OF_RISK")</f>
        <v/>
      </c>
      <c r="N83">
        <f>BDP(A83,"INDUSTRY_SECTOR")</f>
        <v/>
      </c>
      <c r="O83">
        <f>BDP(A83,"PAYMENT_RANK")</f>
        <v/>
      </c>
      <c r="Q83">
        <f>BDP(A83,"RTG_SP")</f>
        <v/>
      </c>
      <c r="R83">
        <f>BDP(A83,"RTG_MOODY")</f>
        <v/>
      </c>
      <c r="S83">
        <f>BDP(A83,"RTG_FITCH")</f>
        <v/>
      </c>
    </row>
    <row r="84">
      <c r="B84">
        <f>BDP(A84,"SECURITY_DES")</f>
        <v/>
      </c>
      <c r="C84">
        <f>BDP(A84,"CRNCY")</f>
        <v/>
      </c>
      <c r="D84">
        <f>BDP(A84,"CNTRY_OF_RISK")</f>
        <v/>
      </c>
      <c r="E84">
        <f>BDP(A84,"CPN")/100</f>
        <v/>
      </c>
      <c r="F84">
        <f>BDP(A84,"CPN_FREQ")</f>
        <v/>
      </c>
      <c r="G84">
        <f>BDP(A84,"DAY_CNT_DES")</f>
        <v/>
      </c>
      <c r="H84">
        <f>BDP(A84,"MATURITY")</f>
        <v/>
      </c>
      <c r="I84">
        <f>BDP(A84,"FIRST_CPN_DT")</f>
        <v/>
      </c>
      <c r="J84">
        <f>BDP(A84,"ID_ISIN")</f>
        <v/>
      </c>
      <c r="K84">
        <f>BDP(A84,"MARKET_SECTOR_DES")</f>
        <v/>
      </c>
      <c r="L84">
        <f>BDP(A84,"ISSUER")</f>
        <v/>
      </c>
      <c r="M84">
        <f>BDP(A84,"CNTRY_OF_RISK")</f>
        <v/>
      </c>
      <c r="N84">
        <f>BDP(A84,"INDUSTRY_SECTOR")</f>
        <v/>
      </c>
      <c r="O84">
        <f>BDP(A84,"PAYMENT_RANK")</f>
        <v/>
      </c>
      <c r="Q84">
        <f>BDP(A84,"RTG_SP")</f>
        <v/>
      </c>
      <c r="R84">
        <f>BDP(A84,"RTG_MOODY")</f>
        <v/>
      </c>
      <c r="S84">
        <f>BDP(A84,"RTG_FITCH")</f>
        <v/>
      </c>
    </row>
    <row r="85">
      <c r="B85">
        <f>BDP(A85,"SECURITY_DES")</f>
        <v/>
      </c>
      <c r="C85">
        <f>BDP(A85,"CRNCY")</f>
        <v/>
      </c>
      <c r="D85">
        <f>BDP(A85,"CNTRY_OF_RISK")</f>
        <v/>
      </c>
      <c r="E85">
        <f>BDP(A85,"CPN")/100</f>
        <v/>
      </c>
      <c r="F85">
        <f>BDP(A85,"CPN_FREQ")</f>
        <v/>
      </c>
      <c r="G85">
        <f>BDP(A85,"DAY_CNT_DES")</f>
        <v/>
      </c>
      <c r="H85">
        <f>BDP(A85,"MATURITY")</f>
        <v/>
      </c>
      <c r="I85">
        <f>BDP(A85,"FIRST_CPN_DT")</f>
        <v/>
      </c>
      <c r="J85">
        <f>BDP(A85,"ID_ISIN")</f>
        <v/>
      </c>
      <c r="K85">
        <f>BDP(A85,"MARKET_SECTOR_DES")</f>
        <v/>
      </c>
      <c r="L85">
        <f>BDP(A85,"ISSUER")</f>
        <v/>
      </c>
      <c r="M85">
        <f>BDP(A85,"CNTRY_OF_RISK")</f>
        <v/>
      </c>
      <c r="N85">
        <f>BDP(A85,"INDUSTRY_SECTOR")</f>
        <v/>
      </c>
      <c r="O85">
        <f>BDP(A85,"PAYMENT_RANK")</f>
        <v/>
      </c>
      <c r="Q85">
        <f>BDP(A85,"RTG_SP")</f>
        <v/>
      </c>
      <c r="R85">
        <f>BDP(A85,"RTG_MOODY")</f>
        <v/>
      </c>
      <c r="S85">
        <f>BDP(A85,"RTG_FITCH")</f>
        <v/>
      </c>
    </row>
    <row r="86">
      <c r="B86">
        <f>BDP(A86,"SECURITY_DES")</f>
        <v/>
      </c>
      <c r="C86">
        <f>BDP(A86,"CRNCY")</f>
        <v/>
      </c>
      <c r="D86">
        <f>BDP(A86,"CNTRY_OF_RISK")</f>
        <v/>
      </c>
      <c r="E86">
        <f>BDP(A86,"CPN")/100</f>
        <v/>
      </c>
      <c r="F86">
        <f>BDP(A86,"CPN_FREQ")</f>
        <v/>
      </c>
      <c r="G86">
        <f>BDP(A86,"DAY_CNT_DES")</f>
        <v/>
      </c>
      <c r="H86">
        <f>BDP(A86,"MATURITY")</f>
        <v/>
      </c>
      <c r="I86">
        <f>BDP(A86,"FIRST_CPN_DT")</f>
        <v/>
      </c>
      <c r="J86">
        <f>BDP(A86,"ID_ISIN")</f>
        <v/>
      </c>
      <c r="K86">
        <f>BDP(A86,"MARKET_SECTOR_DES")</f>
        <v/>
      </c>
      <c r="L86">
        <f>BDP(A86,"ISSUER")</f>
        <v/>
      </c>
      <c r="M86">
        <f>BDP(A86,"CNTRY_OF_RISK")</f>
        <v/>
      </c>
      <c r="N86">
        <f>BDP(A86,"INDUSTRY_SECTOR")</f>
        <v/>
      </c>
      <c r="O86">
        <f>BDP(A86,"PAYMENT_RANK")</f>
        <v/>
      </c>
      <c r="Q86">
        <f>BDP(A86,"RTG_SP")</f>
        <v/>
      </c>
      <c r="R86">
        <f>BDP(A86,"RTG_MOODY")</f>
        <v/>
      </c>
      <c r="S86">
        <f>BDP(A86,"RTG_FITCH")</f>
        <v/>
      </c>
    </row>
    <row r="87">
      <c r="B87">
        <f>BDP(A87,"SECURITY_DES")</f>
        <v/>
      </c>
      <c r="C87">
        <f>BDP(A87,"CRNCY")</f>
        <v/>
      </c>
      <c r="D87">
        <f>BDP(A87,"CNTRY_OF_RISK")</f>
        <v/>
      </c>
      <c r="E87">
        <f>BDP(A87,"CPN")/100</f>
        <v/>
      </c>
      <c r="F87">
        <f>BDP(A87,"CPN_FREQ")</f>
        <v/>
      </c>
      <c r="G87">
        <f>BDP(A87,"DAY_CNT_DES")</f>
        <v/>
      </c>
      <c r="H87">
        <f>BDP(A87,"MATURITY")</f>
        <v/>
      </c>
      <c r="I87">
        <f>BDP(A87,"FIRST_CPN_DT")</f>
        <v/>
      </c>
      <c r="J87">
        <f>BDP(A87,"ID_ISIN")</f>
        <v/>
      </c>
      <c r="K87">
        <f>BDP(A87,"MARKET_SECTOR_DES")</f>
        <v/>
      </c>
      <c r="L87">
        <f>BDP(A87,"ISSUER")</f>
        <v/>
      </c>
      <c r="M87">
        <f>BDP(A87,"CNTRY_OF_RISK")</f>
        <v/>
      </c>
      <c r="N87">
        <f>BDP(A87,"INDUSTRY_SECTOR")</f>
        <v/>
      </c>
      <c r="O87">
        <f>BDP(A87,"PAYMENT_RANK")</f>
        <v/>
      </c>
      <c r="Q87">
        <f>BDP(A87,"RTG_SP")</f>
        <v/>
      </c>
      <c r="R87">
        <f>BDP(A87,"RTG_MOODY")</f>
        <v/>
      </c>
      <c r="S87">
        <f>BDP(A87,"RTG_FITCH")</f>
        <v/>
      </c>
    </row>
    <row r="88">
      <c r="B88">
        <f>BDP(A88,"SECURITY_DES")</f>
        <v/>
      </c>
      <c r="C88">
        <f>BDP(A88,"CRNCY")</f>
        <v/>
      </c>
      <c r="D88">
        <f>BDP(A88,"CNTRY_OF_RISK")</f>
        <v/>
      </c>
      <c r="E88">
        <f>BDP(A88,"CPN")/100</f>
        <v/>
      </c>
      <c r="F88">
        <f>BDP(A88,"CPN_FREQ")</f>
        <v/>
      </c>
      <c r="G88">
        <f>BDP(A88,"DAY_CNT_DES")</f>
        <v/>
      </c>
      <c r="H88">
        <f>BDP(A88,"MATURITY")</f>
        <v/>
      </c>
      <c r="I88">
        <f>BDP(A88,"FIRST_CPN_DT")</f>
        <v/>
      </c>
      <c r="J88">
        <f>BDP(A88,"ID_ISIN")</f>
        <v/>
      </c>
      <c r="K88">
        <f>BDP(A88,"MARKET_SECTOR_DES")</f>
        <v/>
      </c>
      <c r="L88">
        <f>BDP(A88,"ISSUER")</f>
        <v/>
      </c>
      <c r="M88">
        <f>BDP(A88,"CNTRY_OF_RISK")</f>
        <v/>
      </c>
      <c r="N88">
        <f>BDP(A88,"INDUSTRY_SECTOR")</f>
        <v/>
      </c>
      <c r="O88">
        <f>BDP(A88,"PAYMENT_RANK")</f>
        <v/>
      </c>
      <c r="Q88">
        <f>BDP(A88,"RTG_SP")</f>
        <v/>
      </c>
      <c r="R88">
        <f>BDP(A88,"RTG_MOODY")</f>
        <v/>
      </c>
      <c r="S88">
        <f>BDP(A88,"RTG_FITCH")</f>
        <v/>
      </c>
    </row>
    <row r="89">
      <c r="B89">
        <f>BDP(A89,"SECURITY_DES")</f>
        <v/>
      </c>
      <c r="C89">
        <f>BDP(A89,"CRNCY")</f>
        <v/>
      </c>
      <c r="D89">
        <f>BDP(A89,"CNTRY_OF_RISK")</f>
        <v/>
      </c>
      <c r="E89">
        <f>BDP(A89,"CPN")/100</f>
        <v/>
      </c>
      <c r="F89">
        <f>BDP(A89,"CPN_FREQ")</f>
        <v/>
      </c>
      <c r="G89">
        <f>BDP(A89,"DAY_CNT_DES")</f>
        <v/>
      </c>
      <c r="H89">
        <f>BDP(A89,"MATURITY")</f>
        <v/>
      </c>
      <c r="I89">
        <f>BDP(A89,"FIRST_CPN_DT")</f>
        <v/>
      </c>
      <c r="J89">
        <f>BDP(A89,"ID_ISIN")</f>
        <v/>
      </c>
      <c r="K89">
        <f>BDP(A89,"MARKET_SECTOR_DES")</f>
        <v/>
      </c>
      <c r="L89">
        <f>BDP(A89,"ISSUER")</f>
        <v/>
      </c>
      <c r="M89">
        <f>BDP(A89,"CNTRY_OF_RISK")</f>
        <v/>
      </c>
      <c r="N89">
        <f>BDP(A89,"INDUSTRY_SECTOR")</f>
        <v/>
      </c>
      <c r="O89">
        <f>BDP(A89,"PAYMENT_RANK")</f>
        <v/>
      </c>
      <c r="Q89">
        <f>BDP(A89,"RTG_SP")</f>
        <v/>
      </c>
      <c r="R89">
        <f>BDP(A89,"RTG_MOODY")</f>
        <v/>
      </c>
      <c r="S89">
        <f>BDP(A89,"RTG_FITCH")</f>
        <v/>
      </c>
    </row>
    <row r="90">
      <c r="B90">
        <f>BDP(A90,"SECURITY_DES")</f>
        <v/>
      </c>
      <c r="C90">
        <f>BDP(A90,"CRNCY")</f>
        <v/>
      </c>
      <c r="D90">
        <f>BDP(A90,"CNTRY_OF_RISK")</f>
        <v/>
      </c>
      <c r="E90">
        <f>BDP(A90,"CPN")/100</f>
        <v/>
      </c>
      <c r="F90">
        <f>BDP(A90,"CPN_FREQ")</f>
        <v/>
      </c>
      <c r="G90">
        <f>BDP(A90,"DAY_CNT_DES")</f>
        <v/>
      </c>
      <c r="H90">
        <f>BDP(A90,"MATURITY")</f>
        <v/>
      </c>
      <c r="I90">
        <f>BDP(A90,"FIRST_CPN_DT")</f>
        <v/>
      </c>
      <c r="J90">
        <f>BDP(A90,"ID_ISIN")</f>
        <v/>
      </c>
      <c r="K90">
        <f>BDP(A90,"MARKET_SECTOR_DES")</f>
        <v/>
      </c>
      <c r="L90">
        <f>BDP(A90,"ISSUER")</f>
        <v/>
      </c>
      <c r="M90">
        <f>BDP(A90,"CNTRY_OF_RISK")</f>
        <v/>
      </c>
      <c r="N90">
        <f>BDP(A90,"INDUSTRY_SECTOR")</f>
        <v/>
      </c>
      <c r="O90">
        <f>BDP(A90,"PAYMENT_RANK")</f>
        <v/>
      </c>
      <c r="Q90">
        <f>BDP(A90,"RTG_SP")</f>
        <v/>
      </c>
      <c r="R90">
        <f>BDP(A90,"RTG_MOODY")</f>
        <v/>
      </c>
      <c r="S90">
        <f>BDP(A90,"RTG_FITCH")</f>
        <v/>
      </c>
    </row>
    <row r="91">
      <c r="B91">
        <f>BDP(A91,"SECURITY_DES")</f>
        <v/>
      </c>
      <c r="C91">
        <f>BDP(A91,"CRNCY")</f>
        <v/>
      </c>
      <c r="D91">
        <f>BDP(A91,"CNTRY_OF_RISK")</f>
        <v/>
      </c>
      <c r="E91">
        <f>BDP(A91,"CPN")/100</f>
        <v/>
      </c>
      <c r="F91">
        <f>BDP(A91,"CPN_FREQ")</f>
        <v/>
      </c>
      <c r="G91">
        <f>BDP(A91,"DAY_CNT_DES")</f>
        <v/>
      </c>
      <c r="H91">
        <f>BDP(A91,"MATURITY")</f>
        <v/>
      </c>
      <c r="I91">
        <f>BDP(A91,"FIRST_CPN_DT")</f>
        <v/>
      </c>
      <c r="J91">
        <f>BDP(A91,"ID_ISIN")</f>
        <v/>
      </c>
      <c r="K91">
        <f>BDP(A91,"MARKET_SECTOR_DES")</f>
        <v/>
      </c>
      <c r="L91">
        <f>BDP(A91,"ISSUER")</f>
        <v/>
      </c>
      <c r="M91">
        <f>BDP(A91,"CNTRY_OF_RISK")</f>
        <v/>
      </c>
      <c r="N91">
        <f>BDP(A91,"INDUSTRY_SECTOR")</f>
        <v/>
      </c>
      <c r="O91">
        <f>BDP(A91,"PAYMENT_RANK")</f>
        <v/>
      </c>
      <c r="Q91">
        <f>BDP(A91,"RTG_SP")</f>
        <v/>
      </c>
      <c r="R91">
        <f>BDP(A91,"RTG_MOODY")</f>
        <v/>
      </c>
      <c r="S91">
        <f>BDP(A91,"RTG_FITCH")</f>
        <v/>
      </c>
    </row>
    <row r="92">
      <c r="B92">
        <f>BDP(A92,"SECURITY_DES")</f>
        <v/>
      </c>
      <c r="C92">
        <f>BDP(A92,"CRNCY")</f>
        <v/>
      </c>
      <c r="D92">
        <f>BDP(A92,"CNTRY_OF_RISK")</f>
        <v/>
      </c>
      <c r="E92">
        <f>BDP(A92,"CPN")/100</f>
        <v/>
      </c>
      <c r="F92">
        <f>BDP(A92,"CPN_FREQ")</f>
        <v/>
      </c>
      <c r="G92">
        <f>BDP(A92,"DAY_CNT_DES")</f>
        <v/>
      </c>
      <c r="H92">
        <f>BDP(A92,"MATURITY")</f>
        <v/>
      </c>
      <c r="I92">
        <f>BDP(A92,"FIRST_CPN_DT")</f>
        <v/>
      </c>
      <c r="J92">
        <f>BDP(A92,"ID_ISIN")</f>
        <v/>
      </c>
      <c r="K92">
        <f>BDP(A92,"MARKET_SECTOR_DES")</f>
        <v/>
      </c>
      <c r="L92">
        <f>BDP(A92,"ISSUER")</f>
        <v/>
      </c>
      <c r="M92">
        <f>BDP(A92,"CNTRY_OF_RISK")</f>
        <v/>
      </c>
      <c r="N92">
        <f>BDP(A92,"INDUSTRY_SECTOR")</f>
        <v/>
      </c>
      <c r="O92">
        <f>BDP(A92,"PAYMENT_RANK")</f>
        <v/>
      </c>
      <c r="Q92">
        <f>BDP(A92,"RTG_SP")</f>
        <v/>
      </c>
      <c r="R92">
        <f>BDP(A92,"RTG_MOODY")</f>
        <v/>
      </c>
      <c r="S92">
        <f>BDP(A92,"RTG_FITCH")</f>
        <v/>
      </c>
    </row>
    <row r="93">
      <c r="B93">
        <f>BDP(A93,"SECURITY_DES")</f>
        <v/>
      </c>
      <c r="C93">
        <f>BDP(A93,"CRNCY")</f>
        <v/>
      </c>
      <c r="D93">
        <f>BDP(A93,"CNTRY_OF_RISK")</f>
        <v/>
      </c>
      <c r="E93">
        <f>BDP(A93,"CPN")/100</f>
        <v/>
      </c>
      <c r="F93">
        <f>BDP(A93,"CPN_FREQ")</f>
        <v/>
      </c>
      <c r="G93">
        <f>BDP(A93,"DAY_CNT_DES")</f>
        <v/>
      </c>
      <c r="H93">
        <f>BDP(A93,"MATURITY")</f>
        <v/>
      </c>
      <c r="I93">
        <f>BDP(A93,"FIRST_CPN_DT")</f>
        <v/>
      </c>
      <c r="J93">
        <f>BDP(A93,"ID_ISIN")</f>
        <v/>
      </c>
      <c r="K93">
        <f>BDP(A93,"MARKET_SECTOR_DES")</f>
        <v/>
      </c>
      <c r="L93">
        <f>BDP(A93,"ISSUER")</f>
        <v/>
      </c>
      <c r="M93">
        <f>BDP(A93,"CNTRY_OF_RISK")</f>
        <v/>
      </c>
      <c r="N93">
        <f>BDP(A93,"INDUSTRY_SECTOR")</f>
        <v/>
      </c>
      <c r="O93">
        <f>BDP(A93,"PAYMENT_RANK")</f>
        <v/>
      </c>
      <c r="Q93">
        <f>BDP(A93,"RTG_SP")</f>
        <v/>
      </c>
      <c r="R93">
        <f>BDP(A93,"RTG_MOODY")</f>
        <v/>
      </c>
      <c r="S93">
        <f>BDP(A93,"RTG_FITCH")</f>
        <v/>
      </c>
    </row>
    <row r="94">
      <c r="B94">
        <f>BDP(A94,"SECURITY_DES")</f>
        <v/>
      </c>
      <c r="C94">
        <f>BDP(A94,"CRNCY")</f>
        <v/>
      </c>
      <c r="D94">
        <f>BDP(A94,"CNTRY_OF_RISK")</f>
        <v/>
      </c>
      <c r="E94">
        <f>BDP(A94,"CPN")/100</f>
        <v/>
      </c>
      <c r="F94">
        <f>BDP(A94,"CPN_FREQ")</f>
        <v/>
      </c>
      <c r="G94">
        <f>BDP(A94,"DAY_CNT_DES")</f>
        <v/>
      </c>
      <c r="H94">
        <f>BDP(A94,"MATURITY")</f>
        <v/>
      </c>
      <c r="I94">
        <f>BDP(A94,"FIRST_CPN_DT")</f>
        <v/>
      </c>
      <c r="J94">
        <f>BDP(A94,"ID_ISIN")</f>
        <v/>
      </c>
      <c r="K94">
        <f>BDP(A94,"MARKET_SECTOR_DES")</f>
        <v/>
      </c>
      <c r="L94">
        <f>BDP(A94,"ISSUER")</f>
        <v/>
      </c>
      <c r="M94">
        <f>BDP(A94,"CNTRY_OF_RISK")</f>
        <v/>
      </c>
      <c r="N94">
        <f>BDP(A94,"INDUSTRY_SECTOR")</f>
        <v/>
      </c>
      <c r="O94">
        <f>BDP(A94,"PAYMENT_RANK")</f>
        <v/>
      </c>
      <c r="Q94">
        <f>BDP(A94,"RTG_SP")</f>
        <v/>
      </c>
      <c r="R94">
        <f>BDP(A94,"RTG_MOODY")</f>
        <v/>
      </c>
      <c r="S94">
        <f>BDP(A94,"RTG_FITCH")</f>
        <v/>
      </c>
    </row>
    <row r="95">
      <c r="B95">
        <f>BDP(A95,"SECURITY_DES")</f>
        <v/>
      </c>
      <c r="C95">
        <f>BDP(A95,"CRNCY")</f>
        <v/>
      </c>
      <c r="D95">
        <f>BDP(A95,"CNTRY_OF_RISK")</f>
        <v/>
      </c>
      <c r="E95">
        <f>BDP(A95,"CPN")/100</f>
        <v/>
      </c>
      <c r="F95">
        <f>BDP(A95,"CPN_FREQ")</f>
        <v/>
      </c>
      <c r="G95">
        <f>BDP(A95,"DAY_CNT_DES")</f>
        <v/>
      </c>
      <c r="H95">
        <f>BDP(A95,"MATURITY")</f>
        <v/>
      </c>
      <c r="I95">
        <f>BDP(A95,"FIRST_CPN_DT")</f>
        <v/>
      </c>
      <c r="J95">
        <f>BDP(A95,"ID_ISIN")</f>
        <v/>
      </c>
      <c r="K95">
        <f>BDP(A95,"MARKET_SECTOR_DES")</f>
        <v/>
      </c>
      <c r="L95">
        <f>BDP(A95,"ISSUER")</f>
        <v/>
      </c>
      <c r="M95">
        <f>BDP(A95,"CNTRY_OF_RISK")</f>
        <v/>
      </c>
      <c r="N95">
        <f>BDP(A95,"INDUSTRY_SECTOR")</f>
        <v/>
      </c>
      <c r="O95">
        <f>BDP(A95,"PAYMENT_RANK")</f>
        <v/>
      </c>
      <c r="Q95">
        <f>BDP(A95,"RTG_SP")</f>
        <v/>
      </c>
      <c r="R95">
        <f>BDP(A95,"RTG_MOODY")</f>
        <v/>
      </c>
      <c r="S95">
        <f>BDP(A95,"RTG_FITCH")</f>
        <v/>
      </c>
    </row>
    <row r="96">
      <c r="B96">
        <f>BDP(A96,"SECURITY_DES")</f>
        <v/>
      </c>
      <c r="C96">
        <f>BDP(A96,"CRNCY")</f>
        <v/>
      </c>
      <c r="D96">
        <f>BDP(A96,"CNTRY_OF_RISK")</f>
        <v/>
      </c>
      <c r="E96">
        <f>BDP(A96,"CPN")/100</f>
        <v/>
      </c>
      <c r="F96">
        <f>BDP(A96,"CPN_FREQ")</f>
        <v/>
      </c>
      <c r="G96">
        <f>BDP(A96,"DAY_CNT_DES")</f>
        <v/>
      </c>
      <c r="H96">
        <f>BDP(A96,"MATURITY")</f>
        <v/>
      </c>
      <c r="I96">
        <f>BDP(A96,"FIRST_CPN_DT")</f>
        <v/>
      </c>
      <c r="J96">
        <f>BDP(A96,"ID_ISIN")</f>
        <v/>
      </c>
      <c r="K96">
        <f>BDP(A96,"MARKET_SECTOR_DES")</f>
        <v/>
      </c>
      <c r="L96">
        <f>BDP(A96,"ISSUER")</f>
        <v/>
      </c>
      <c r="M96">
        <f>BDP(A96,"CNTRY_OF_RISK")</f>
        <v/>
      </c>
      <c r="N96">
        <f>BDP(A96,"INDUSTRY_SECTOR")</f>
        <v/>
      </c>
      <c r="O96">
        <f>BDP(A96,"PAYMENT_RANK")</f>
        <v/>
      </c>
      <c r="Q96">
        <f>BDP(A96,"RTG_SP")</f>
        <v/>
      </c>
      <c r="R96">
        <f>BDP(A96,"RTG_MOODY")</f>
        <v/>
      </c>
      <c r="S96">
        <f>BDP(A96,"RTG_FITCH")</f>
        <v/>
      </c>
    </row>
    <row r="97">
      <c r="B97">
        <f>BDP(A97,"SECURITY_DES")</f>
        <v/>
      </c>
      <c r="C97">
        <f>BDP(A97,"CRNCY")</f>
        <v/>
      </c>
      <c r="D97">
        <f>BDP(A97,"CNTRY_OF_RISK")</f>
        <v/>
      </c>
      <c r="E97">
        <f>BDP(A97,"CPN")/100</f>
        <v/>
      </c>
      <c r="F97">
        <f>BDP(A97,"CPN_FREQ")</f>
        <v/>
      </c>
      <c r="G97">
        <f>BDP(A97,"DAY_CNT_DES")</f>
        <v/>
      </c>
      <c r="H97">
        <f>BDP(A97,"MATURITY")</f>
        <v/>
      </c>
      <c r="I97">
        <f>BDP(A97,"FIRST_CPN_DT")</f>
        <v/>
      </c>
      <c r="J97">
        <f>BDP(A97,"ID_ISIN")</f>
        <v/>
      </c>
      <c r="K97">
        <f>BDP(A97,"MARKET_SECTOR_DES")</f>
        <v/>
      </c>
      <c r="L97">
        <f>BDP(A97,"ISSUER")</f>
        <v/>
      </c>
      <c r="M97">
        <f>BDP(A97,"CNTRY_OF_RISK")</f>
        <v/>
      </c>
      <c r="N97">
        <f>BDP(A97,"INDUSTRY_SECTOR")</f>
        <v/>
      </c>
      <c r="O97">
        <f>BDP(A97,"PAYMENT_RANK")</f>
        <v/>
      </c>
      <c r="Q97">
        <f>BDP(A97,"RTG_SP")</f>
        <v/>
      </c>
      <c r="R97">
        <f>BDP(A97,"RTG_MOODY")</f>
        <v/>
      </c>
      <c r="S97">
        <f>BDP(A97,"RTG_FITCH")</f>
        <v/>
      </c>
    </row>
    <row r="98">
      <c r="B98">
        <f>BDP(A98,"SECURITY_DES")</f>
        <v/>
      </c>
      <c r="C98">
        <f>BDP(A98,"CRNCY")</f>
        <v/>
      </c>
      <c r="D98">
        <f>BDP(A98,"CNTRY_OF_RISK")</f>
        <v/>
      </c>
      <c r="E98">
        <f>BDP(A98,"CPN")/100</f>
        <v/>
      </c>
      <c r="F98">
        <f>BDP(A98,"CPN_FREQ")</f>
        <v/>
      </c>
      <c r="G98">
        <f>BDP(A98,"DAY_CNT_DES")</f>
        <v/>
      </c>
      <c r="H98">
        <f>BDP(A98,"MATURITY")</f>
        <v/>
      </c>
      <c r="I98">
        <f>BDP(A98,"FIRST_CPN_DT")</f>
        <v/>
      </c>
      <c r="J98">
        <f>BDP(A98,"ID_ISIN")</f>
        <v/>
      </c>
      <c r="K98">
        <f>BDP(A98,"MARKET_SECTOR_DES")</f>
        <v/>
      </c>
      <c r="L98">
        <f>BDP(A98,"ISSUER")</f>
        <v/>
      </c>
      <c r="M98">
        <f>BDP(A98,"CNTRY_OF_RISK")</f>
        <v/>
      </c>
      <c r="N98">
        <f>BDP(A98,"INDUSTRY_SECTOR")</f>
        <v/>
      </c>
      <c r="O98">
        <f>BDP(A98,"PAYMENT_RANK")</f>
        <v/>
      </c>
      <c r="Q98">
        <f>BDP(A98,"RTG_SP")</f>
        <v/>
      </c>
      <c r="R98">
        <f>BDP(A98,"RTG_MOODY")</f>
        <v/>
      </c>
      <c r="S98">
        <f>BDP(A98,"RTG_FITCH")</f>
        <v/>
      </c>
    </row>
    <row r="99">
      <c r="B99">
        <f>BDP(A99,"SECURITY_DES")</f>
        <v/>
      </c>
      <c r="C99">
        <f>BDP(A99,"CRNCY")</f>
        <v/>
      </c>
      <c r="D99">
        <f>BDP(A99,"CNTRY_OF_RISK")</f>
        <v/>
      </c>
      <c r="E99">
        <f>BDP(A99,"CPN")/100</f>
        <v/>
      </c>
      <c r="F99">
        <f>BDP(A99,"CPN_FREQ")</f>
        <v/>
      </c>
      <c r="G99">
        <f>BDP(A99,"DAY_CNT_DES")</f>
        <v/>
      </c>
      <c r="H99">
        <f>BDP(A99,"MATURITY")</f>
        <v/>
      </c>
      <c r="I99">
        <f>BDP(A99,"FIRST_CPN_DT")</f>
        <v/>
      </c>
      <c r="J99">
        <f>BDP(A99,"ID_ISIN")</f>
        <v/>
      </c>
      <c r="K99">
        <f>BDP(A99,"MARKET_SECTOR_DES")</f>
        <v/>
      </c>
      <c r="L99">
        <f>BDP(A99,"ISSUER")</f>
        <v/>
      </c>
      <c r="M99">
        <f>BDP(A99,"CNTRY_OF_RISK")</f>
        <v/>
      </c>
      <c r="N99">
        <f>BDP(A99,"INDUSTRY_SECTOR")</f>
        <v/>
      </c>
      <c r="O99">
        <f>BDP(A99,"PAYMENT_RANK")</f>
        <v/>
      </c>
      <c r="Q99">
        <f>BDP(A99,"RTG_SP")</f>
        <v/>
      </c>
      <c r="R99">
        <f>BDP(A99,"RTG_MOODY")</f>
        <v/>
      </c>
      <c r="S99">
        <f>BDP(A99,"RTG_FITCH")</f>
        <v/>
      </c>
    </row>
    <row r="100">
      <c r="B100">
        <f>BDP(A100,"SECURITY_DES")</f>
        <v/>
      </c>
      <c r="C100">
        <f>BDP(A100,"CRNCY")</f>
        <v/>
      </c>
      <c r="D100">
        <f>BDP(A100,"CNTRY_OF_RISK")</f>
        <v/>
      </c>
      <c r="E100">
        <f>BDP(A100,"CPN")/100</f>
        <v/>
      </c>
      <c r="F100">
        <f>BDP(A100,"CPN_FREQ")</f>
        <v/>
      </c>
      <c r="G100">
        <f>BDP(A100,"DAY_CNT_DES")</f>
        <v/>
      </c>
      <c r="H100">
        <f>BDP(A100,"MATURITY")</f>
        <v/>
      </c>
      <c r="I100">
        <f>BDP(A100,"FIRST_CPN_DT")</f>
        <v/>
      </c>
      <c r="J100">
        <f>BDP(A100,"ID_ISIN")</f>
        <v/>
      </c>
      <c r="K100">
        <f>BDP(A100,"MARKET_SECTOR_DES")</f>
        <v/>
      </c>
      <c r="L100">
        <f>BDP(A100,"ISSUER")</f>
        <v/>
      </c>
      <c r="M100">
        <f>BDP(A100,"CNTRY_OF_RISK")</f>
        <v/>
      </c>
      <c r="N100">
        <f>BDP(A100,"INDUSTRY_SECTOR")</f>
        <v/>
      </c>
      <c r="O100">
        <f>BDP(A100,"PAYMENT_RANK")</f>
        <v/>
      </c>
      <c r="Q100">
        <f>BDP(A100,"RTG_SP")</f>
        <v/>
      </c>
      <c r="R100">
        <f>BDP(A100,"RTG_MOODY")</f>
        <v/>
      </c>
      <c r="S100">
        <f>BDP(A100,"RTG_FITCH")</f>
        <v/>
      </c>
    </row>
    <row r="101">
      <c r="B101">
        <f>BDP(A101,"SECURITY_DES")</f>
        <v/>
      </c>
      <c r="C101">
        <f>BDP(A101,"CRNCY")</f>
        <v/>
      </c>
      <c r="D101">
        <f>BDP(A101,"CNTRY_OF_RISK")</f>
        <v/>
      </c>
      <c r="E101">
        <f>BDP(A101,"CPN")/100</f>
        <v/>
      </c>
      <c r="F101">
        <f>BDP(A101,"CPN_FREQ")</f>
        <v/>
      </c>
      <c r="G101">
        <f>BDP(A101,"DAY_CNT_DES")</f>
        <v/>
      </c>
      <c r="H101">
        <f>BDP(A101,"MATURITY")</f>
        <v/>
      </c>
      <c r="I101">
        <f>BDP(A101,"FIRST_CPN_DT")</f>
        <v/>
      </c>
      <c r="J101">
        <f>BDP(A101,"ID_ISIN")</f>
        <v/>
      </c>
      <c r="K101">
        <f>BDP(A101,"MARKET_SECTOR_DES")</f>
        <v/>
      </c>
      <c r="L101">
        <f>BDP(A101,"ISSUER")</f>
        <v/>
      </c>
      <c r="M101">
        <f>BDP(A101,"CNTRY_OF_RISK")</f>
        <v/>
      </c>
      <c r="N101">
        <f>BDP(A101,"INDUSTRY_SECTOR")</f>
        <v/>
      </c>
      <c r="O101">
        <f>BDP(A101,"PAYMENT_RANK")</f>
        <v/>
      </c>
      <c r="Q101">
        <f>BDP(A101,"RTG_SP")</f>
        <v/>
      </c>
      <c r="R101">
        <f>BDP(A101,"RTG_MOODY")</f>
        <v/>
      </c>
      <c r="S101">
        <f>BDP(A101,"RTG_FITCH")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4" customWidth="1" min="4" max="4"/>
    <col width="22" customWidth="1" min="5" max="5"/>
    <col width="14" customWidth="1" min="6" max="6"/>
    <col width="22" customWidth="1" min="7" max="7"/>
    <col width="14" customWidth="1" min="8" max="8"/>
    <col width="22" customWidth="1" min="9" max="9"/>
    <col width="14" customWidth="1" min="10" max="10"/>
    <col width="22" customWidth="1" min="11" max="11"/>
    <col width="14" customWidth="1" min="12" max="12"/>
    <col width="22" customWidth="1" min="13" max="13"/>
    <col width="14" customWidth="1" min="14" max="14"/>
    <col width="22" customWidth="1" min="15" max="15"/>
    <col width="14" customWidth="1" min="16" max="16"/>
    <col width="22" customWidth="1" min="17" max="17"/>
    <col width="14" customWidth="1" min="18" max="18"/>
    <col width="22" customWidth="1" min="19" max="19"/>
    <col width="14" customWidth="1" min="20" max="20"/>
    <col width="22" customWidth="1" min="21" max="21"/>
    <col width="14" customWidth="1" min="22" max="22"/>
    <col width="22" customWidth="1" min="23" max="23"/>
    <col width="14" customWidth="1" min="24" max="24"/>
    <col width="22" customWidth="1" min="25" max="25"/>
    <col width="14" customWidth="1" min="26" max="26"/>
    <col width="22" customWidth="1" min="27" max="27"/>
    <col width="14" customWidth="1" min="28" max="28"/>
    <col width="22" customWidth="1" min="29" max="29"/>
    <col width="14" customWidth="1" min="30" max="30"/>
    <col width="22" customWidth="1" min="31" max="31"/>
    <col width="14" customWidth="1" min="32" max="32"/>
    <col width="22" customWidth="1" min="33" max="33"/>
    <col width="14" customWidth="1" min="34" max="34"/>
    <col width="22" customWidth="1" min="35" max="35"/>
    <col width="14" customWidth="1" min="36" max="36"/>
    <col width="22" customWidth="1" min="37" max="37"/>
    <col width="14" customWidth="1" min="38" max="38"/>
    <col width="22" customWidth="1" min="39" max="39"/>
    <col width="14" customWidth="1" min="40" max="40"/>
    <col width="22" customWidth="1" min="41" max="41"/>
    <col width="14" customWidth="1" min="42" max="42"/>
    <col width="22" customWidth="1" min="43" max="43"/>
    <col width="14" customWidth="1" min="44" max="44"/>
    <col width="22" customWidth="1" min="45" max="45"/>
    <col width="14" customWidth="1" min="46" max="46"/>
    <col width="22" customWidth="1" min="47" max="47"/>
    <col width="14" customWidth="1" min="48" max="48"/>
    <col width="22" customWidth="1" min="49" max="49"/>
    <col width="14" customWidth="1" min="50" max="50"/>
    <col width="22" customWidth="1" min="51" max="51"/>
    <col width="14" customWidth="1" min="52" max="52"/>
    <col width="22" customWidth="1" min="53" max="53"/>
    <col width="14" customWidth="1" min="54" max="54"/>
    <col width="22" customWidth="1" min="55" max="55"/>
    <col width="14" customWidth="1" min="56" max="56"/>
    <col width="22" customWidth="1" min="57" max="57"/>
    <col width="14" customWidth="1" min="58" max="58"/>
    <col width="22" customWidth="1" min="59" max="59"/>
    <col width="14" customWidth="1" min="60" max="60"/>
    <col width="22" customWidth="1" min="61" max="61"/>
    <col width="14" customWidth="1" min="62" max="62"/>
    <col width="22" customWidth="1" min="63" max="63"/>
    <col width="14" customWidth="1" min="64" max="64"/>
    <col width="22" customWidth="1" min="65" max="65"/>
    <col width="14" customWidth="1" min="66" max="66"/>
    <col width="22" customWidth="1" min="67" max="67"/>
    <col width="14" customWidth="1" min="68" max="68"/>
    <col width="22" customWidth="1" min="69" max="69"/>
    <col width="14" customWidth="1" min="70" max="70"/>
    <col width="22" customWidth="1" min="71" max="71"/>
    <col width="14" customWidth="1" min="72" max="72"/>
    <col width="22" customWidth="1" min="73" max="73"/>
    <col width="14" customWidth="1" min="74" max="74"/>
    <col width="22" customWidth="1" min="75" max="75"/>
    <col width="14" customWidth="1" min="76" max="76"/>
    <col width="22" customWidth="1" min="77" max="77"/>
    <col width="14" customWidth="1" min="78" max="78"/>
    <col width="22" customWidth="1" min="79" max="79"/>
    <col width="14" customWidth="1" min="80" max="80"/>
    <col width="22" customWidth="1" min="81" max="81"/>
    <col width="14" customWidth="1" min="82" max="82"/>
    <col width="22" customWidth="1" min="83" max="83"/>
    <col width="14" customWidth="1" min="84" max="84"/>
    <col width="22" customWidth="1" min="85" max="85"/>
    <col width="14" customWidth="1" min="86" max="86"/>
    <col width="22" customWidth="1" min="87" max="87"/>
    <col width="14" customWidth="1" min="88" max="88"/>
    <col width="22" customWidth="1" min="89" max="89"/>
    <col width="14" customWidth="1" min="90" max="90"/>
    <col width="22" customWidth="1" min="91" max="91"/>
    <col width="14" customWidth="1" min="92" max="92"/>
    <col width="22" customWidth="1" min="93" max="93"/>
    <col width="14" customWidth="1" min="94" max="94"/>
    <col width="22" customWidth="1" min="95" max="95"/>
    <col width="14" customWidth="1" min="96" max="96"/>
    <col width="22" customWidth="1" min="97" max="97"/>
    <col width="14" customWidth="1" min="98" max="98"/>
    <col width="22" customWidth="1" min="99" max="99"/>
    <col width="14" customWidth="1" min="100" max="100"/>
    <col width="22" customWidth="1" min="101" max="101"/>
    <col width="14" customWidth="1" min="102" max="102"/>
    <col width="22" customWidth="1" min="103" max="103"/>
    <col width="14" customWidth="1" min="104" max="104"/>
    <col width="22" customWidth="1" min="105" max="105"/>
    <col width="14" customWidth="1" min="106" max="106"/>
    <col width="22" customWidth="1" min="107" max="107"/>
    <col width="14" customWidth="1" min="108" max="108"/>
    <col width="22" customWidth="1" min="109" max="109"/>
    <col width="14" customWidth="1" min="110" max="110"/>
    <col width="22" customWidth="1" min="111" max="111"/>
    <col width="14" customWidth="1" min="112" max="112"/>
    <col width="22" customWidth="1" min="113" max="113"/>
    <col width="14" customWidth="1" min="114" max="114"/>
    <col width="22" customWidth="1" min="115" max="115"/>
    <col width="14" customWidth="1" min="116" max="116"/>
    <col width="22" customWidth="1" min="117" max="117"/>
    <col width="14" customWidth="1" min="118" max="118"/>
    <col width="22" customWidth="1" min="119" max="119"/>
    <col width="14" customWidth="1" min="120" max="120"/>
    <col width="22" customWidth="1" min="121" max="121"/>
    <col width="14" customWidth="1" min="122" max="122"/>
    <col width="22" customWidth="1" min="123" max="123"/>
    <col width="14" customWidth="1" min="124" max="124"/>
    <col width="22" customWidth="1" min="125" max="125"/>
    <col width="14" customWidth="1" min="126" max="126"/>
    <col width="22" customWidth="1" min="127" max="127"/>
    <col width="14" customWidth="1" min="128" max="128"/>
    <col width="22" customWidth="1" min="129" max="129"/>
    <col width="14" customWidth="1" min="130" max="130"/>
    <col width="22" customWidth="1" min="131" max="131"/>
    <col width="14" customWidth="1" min="132" max="132"/>
    <col width="22" customWidth="1" min="133" max="133"/>
    <col width="14" customWidth="1" min="134" max="134"/>
    <col width="22" customWidth="1" min="135" max="135"/>
    <col width="14" customWidth="1" min="136" max="136"/>
    <col width="22" customWidth="1" min="137" max="137"/>
    <col width="14" customWidth="1" min="138" max="138"/>
    <col width="22" customWidth="1" min="139" max="139"/>
    <col width="14" customWidth="1" min="140" max="140"/>
    <col width="22" customWidth="1" min="141" max="141"/>
    <col width="14" customWidth="1" min="142" max="142"/>
    <col width="22" customWidth="1" min="143" max="143"/>
    <col width="14" customWidth="1" min="144" max="144"/>
    <col width="22" customWidth="1" min="145" max="145"/>
    <col width="14" customWidth="1" min="146" max="146"/>
    <col width="22" customWidth="1" min="147" max="147"/>
    <col width="14" customWidth="1" min="148" max="148"/>
    <col width="22" customWidth="1" min="149" max="149"/>
    <col width="14" customWidth="1" min="150" max="150"/>
    <col width="22" customWidth="1" min="151" max="151"/>
    <col width="14" customWidth="1" min="152" max="152"/>
    <col width="22" customWidth="1" min="153" max="153"/>
    <col width="14" customWidth="1" min="154" max="154"/>
    <col width="22" customWidth="1" min="155" max="155"/>
    <col width="14" customWidth="1" min="156" max="156"/>
    <col width="22" customWidth="1" min="157" max="157"/>
    <col width="14" customWidth="1" min="158" max="158"/>
    <col width="22" customWidth="1" min="159" max="159"/>
    <col width="14" customWidth="1" min="160" max="160"/>
    <col width="22" customWidth="1" min="161" max="161"/>
    <col width="14" customWidth="1" min="162" max="162"/>
    <col width="22" customWidth="1" min="163" max="163"/>
    <col width="14" customWidth="1" min="164" max="164"/>
    <col width="22" customWidth="1" min="165" max="165"/>
    <col width="14" customWidth="1" min="166" max="166"/>
    <col width="22" customWidth="1" min="167" max="167"/>
    <col width="14" customWidth="1" min="168" max="168"/>
    <col width="22" customWidth="1" min="169" max="169"/>
    <col width="14" customWidth="1" min="170" max="170"/>
    <col width="22" customWidth="1" min="171" max="171"/>
    <col width="14" customWidth="1" min="172" max="172"/>
    <col width="22" customWidth="1" min="173" max="173"/>
    <col width="14" customWidth="1" min="174" max="174"/>
    <col width="22" customWidth="1" min="175" max="175"/>
    <col width="14" customWidth="1" min="176" max="176"/>
    <col width="22" customWidth="1" min="177" max="177"/>
    <col width="14" customWidth="1" min="178" max="178"/>
    <col width="22" customWidth="1" min="179" max="179"/>
    <col width="14" customWidth="1" min="180" max="180"/>
    <col width="22" customWidth="1" min="181" max="181"/>
    <col width="14" customWidth="1" min="182" max="182"/>
    <col width="22" customWidth="1" min="183" max="183"/>
    <col width="14" customWidth="1" min="184" max="184"/>
    <col width="22" customWidth="1" min="185" max="185"/>
    <col width="14" customWidth="1" min="186" max="186"/>
    <col width="22" customWidth="1" min="187" max="187"/>
    <col width="14" customWidth="1" min="188" max="188"/>
    <col width="22" customWidth="1" min="189" max="189"/>
    <col width="14" customWidth="1" min="190" max="190"/>
    <col width="22" customWidth="1" min="191" max="191"/>
    <col width="14" customWidth="1" min="192" max="192"/>
    <col width="22" customWidth="1" min="193" max="193"/>
    <col width="14" customWidth="1" min="194" max="194"/>
    <col width="22" customWidth="1" min="195" max="195"/>
    <col width="14" customWidth="1" min="196" max="196"/>
    <col width="22" customWidth="1" min="197" max="197"/>
    <col width="14" customWidth="1" min="198" max="198"/>
    <col width="22" customWidth="1" min="199" max="199"/>
    <col width="14" customWidth="1" min="200" max="200"/>
  </cols>
  <sheetData>
    <row r="1">
      <c r="A1" s="2" t="inlineStr">
        <is>
          <t>BBG Ticker</t>
        </is>
      </c>
    </row>
    <row r="2">
      <c r="A2" s="2" t="inlineStr">
        <is>
          <t>End Date (mm/dd/yyyy)</t>
        </is>
      </c>
      <c r="B2" s="2" t="inlineStr">
        <is>
          <t>PX_LAST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2026-06-24T21:25:49Z</dcterms:created>
  <dcterms:modified xsi:type="dcterms:W3CDTF">2026-06-24T21:25:49Z</dcterms:modified>
</cp:coreProperties>
</file>