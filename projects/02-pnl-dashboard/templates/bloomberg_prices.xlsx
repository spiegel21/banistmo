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ve MTM" sheetId="1" state="visible" r:id="rId1"/>
    <sheet name="Static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1" t="inlineStr">
        <is>
          <t>BBG Ticker</t>
        </is>
      </c>
      <c r="B1" s="1" t="inlineStr">
        <is>
          <t>Last Price (PX_LAST)</t>
        </is>
      </c>
      <c r="C1" s="1" t="inlineStr">
        <is>
          <t>ASW Spread</t>
        </is>
      </c>
      <c r="D1" s="1" t="inlineStr">
        <is>
          <t>YTM (Mid)</t>
        </is>
      </c>
    </row>
    <row r="2">
      <c r="B2">
        <f>BDP(A2,"PX_LAST")</f>
        <v/>
      </c>
      <c r="C2">
        <f>BDP(A2,"YAS_ASW_SPREAD")</f>
        <v/>
      </c>
      <c r="D2">
        <f>BDP(A2,"YLD_YTM_MID")</f>
        <v/>
      </c>
    </row>
    <row r="3">
      <c r="B3">
        <f>BDP(A3,"PX_LAST")</f>
        <v/>
      </c>
      <c r="C3">
        <f>BDP(A3,"YAS_ASW_SPREAD")</f>
        <v/>
      </c>
      <c r="D3">
        <f>BDP(A3,"YLD_YTM_MID")</f>
        <v/>
      </c>
    </row>
    <row r="4">
      <c r="B4">
        <f>BDP(A4,"PX_LAST")</f>
        <v/>
      </c>
      <c r="C4">
        <f>BDP(A4,"YAS_ASW_SPREAD")</f>
        <v/>
      </c>
      <c r="D4">
        <f>BDP(A4,"YLD_YTM_MID")</f>
        <v/>
      </c>
    </row>
    <row r="5">
      <c r="B5">
        <f>BDP(A5,"PX_LAST")</f>
        <v/>
      </c>
      <c r="C5">
        <f>BDP(A5,"YAS_ASW_SPREAD")</f>
        <v/>
      </c>
      <c r="D5">
        <f>BDP(A5,"YLD_YTM_MID")</f>
        <v/>
      </c>
    </row>
    <row r="6">
      <c r="B6">
        <f>BDP(A6,"PX_LAST")</f>
        <v/>
      </c>
      <c r="C6">
        <f>BDP(A6,"YAS_ASW_SPREAD")</f>
        <v/>
      </c>
      <c r="D6">
        <f>BDP(A6,"YLD_YTM_MID")</f>
        <v/>
      </c>
    </row>
    <row r="7">
      <c r="B7">
        <f>BDP(A7,"PX_LAST")</f>
        <v/>
      </c>
      <c r="C7">
        <f>BDP(A7,"YAS_ASW_SPREAD")</f>
        <v/>
      </c>
      <c r="D7">
        <f>BDP(A7,"YLD_YTM_MID")</f>
        <v/>
      </c>
    </row>
    <row r="8">
      <c r="B8">
        <f>BDP(A8,"PX_LAST")</f>
        <v/>
      </c>
      <c r="C8">
        <f>BDP(A8,"YAS_ASW_SPREAD")</f>
        <v/>
      </c>
      <c r="D8">
        <f>BDP(A8,"YLD_YTM_MID")</f>
        <v/>
      </c>
    </row>
    <row r="9">
      <c r="B9">
        <f>BDP(A9,"PX_LAST")</f>
        <v/>
      </c>
      <c r="C9">
        <f>BDP(A9,"YAS_ASW_SPREAD")</f>
        <v/>
      </c>
      <c r="D9">
        <f>BDP(A9,"YLD_YTM_MID")</f>
        <v/>
      </c>
    </row>
    <row r="10">
      <c r="B10">
        <f>BDP(A10,"PX_LAST")</f>
        <v/>
      </c>
      <c r="C10">
        <f>BDP(A10,"YAS_ASW_SPREAD")</f>
        <v/>
      </c>
      <c r="D10">
        <f>BDP(A10,"YLD_YTM_MID")</f>
        <v/>
      </c>
    </row>
    <row r="11">
      <c r="B11">
        <f>BDP(A11,"PX_LAST")</f>
        <v/>
      </c>
      <c r="C11">
        <f>BDP(A11,"YAS_ASW_SPREAD")</f>
        <v/>
      </c>
      <c r="D11">
        <f>BDP(A11,"YLD_YTM_MID")</f>
        <v/>
      </c>
    </row>
    <row r="12">
      <c r="B12">
        <f>BDP(A12,"PX_LAST")</f>
        <v/>
      </c>
      <c r="C12">
        <f>BDP(A12,"YAS_ASW_SPREAD")</f>
        <v/>
      </c>
      <c r="D12">
        <f>BDP(A12,"YLD_YTM_MID")</f>
        <v/>
      </c>
    </row>
    <row r="13">
      <c r="B13">
        <f>BDP(A13,"PX_LAST")</f>
        <v/>
      </c>
      <c r="C13">
        <f>BDP(A13,"YAS_ASW_SPREAD")</f>
        <v/>
      </c>
      <c r="D13">
        <f>BDP(A13,"YLD_YTM_MID")</f>
        <v/>
      </c>
    </row>
    <row r="14">
      <c r="B14">
        <f>BDP(A14,"PX_LAST")</f>
        <v/>
      </c>
      <c r="C14">
        <f>BDP(A14,"YAS_ASW_SPREAD")</f>
        <v/>
      </c>
      <c r="D14">
        <f>BDP(A14,"YLD_YTM_MID")</f>
        <v/>
      </c>
    </row>
    <row r="15">
      <c r="B15">
        <f>BDP(A15,"PX_LAST")</f>
        <v/>
      </c>
      <c r="C15">
        <f>BDP(A15,"YAS_ASW_SPREAD")</f>
        <v/>
      </c>
      <c r="D15">
        <f>BDP(A15,"YLD_YTM_MID")</f>
        <v/>
      </c>
    </row>
    <row r="16">
      <c r="B16">
        <f>BDP(A16,"PX_LAST")</f>
        <v/>
      </c>
      <c r="C16">
        <f>BDP(A16,"YAS_ASW_SPREAD")</f>
        <v/>
      </c>
      <c r="D16">
        <f>BDP(A16,"YLD_YTM_MID")</f>
        <v/>
      </c>
    </row>
    <row r="17">
      <c r="B17">
        <f>BDP(A17,"PX_LAST")</f>
        <v/>
      </c>
      <c r="C17">
        <f>BDP(A17,"YAS_ASW_SPREAD")</f>
        <v/>
      </c>
      <c r="D17">
        <f>BDP(A17,"YLD_YTM_MID")</f>
        <v/>
      </c>
    </row>
    <row r="18">
      <c r="B18">
        <f>BDP(A18,"PX_LAST")</f>
        <v/>
      </c>
      <c r="C18">
        <f>BDP(A18,"YAS_ASW_SPREAD")</f>
        <v/>
      </c>
      <c r="D18">
        <f>BDP(A18,"YLD_YTM_MID")</f>
        <v/>
      </c>
    </row>
    <row r="19">
      <c r="B19">
        <f>BDP(A19,"PX_LAST")</f>
        <v/>
      </c>
      <c r="C19">
        <f>BDP(A19,"YAS_ASW_SPREAD")</f>
        <v/>
      </c>
      <c r="D19">
        <f>BDP(A19,"YLD_YTM_MID")</f>
        <v/>
      </c>
    </row>
    <row r="20">
      <c r="B20">
        <f>BDP(A20,"PX_LAST")</f>
        <v/>
      </c>
      <c r="C20">
        <f>BDP(A20,"YAS_ASW_SPREAD")</f>
        <v/>
      </c>
      <c r="D20">
        <f>BDP(A20,"YLD_YTM_MID")</f>
        <v/>
      </c>
    </row>
    <row r="21">
      <c r="B21">
        <f>BDP(A21,"PX_LAST")</f>
        <v/>
      </c>
      <c r="C21">
        <f>BDP(A21,"YAS_ASW_SPREAD")</f>
        <v/>
      </c>
      <c r="D21">
        <f>BDP(A21,"YLD_YTM_MID")</f>
        <v/>
      </c>
    </row>
    <row r="22">
      <c r="B22">
        <f>BDP(A22,"PX_LAST")</f>
        <v/>
      </c>
      <c r="C22">
        <f>BDP(A22,"YAS_ASW_SPREAD")</f>
        <v/>
      </c>
      <c r="D22">
        <f>BDP(A22,"YLD_YTM_MID")</f>
        <v/>
      </c>
    </row>
    <row r="23">
      <c r="B23">
        <f>BDP(A23,"PX_LAST")</f>
        <v/>
      </c>
      <c r="C23">
        <f>BDP(A23,"YAS_ASW_SPREAD")</f>
        <v/>
      </c>
      <c r="D23">
        <f>BDP(A23,"YLD_YTM_MID")</f>
        <v/>
      </c>
    </row>
    <row r="24">
      <c r="B24">
        <f>BDP(A24,"PX_LAST")</f>
        <v/>
      </c>
      <c r="C24">
        <f>BDP(A24,"YAS_ASW_SPREAD")</f>
        <v/>
      </c>
      <c r="D24">
        <f>BDP(A24,"YLD_YTM_MID")</f>
        <v/>
      </c>
    </row>
    <row r="25">
      <c r="B25">
        <f>BDP(A25,"PX_LAST")</f>
        <v/>
      </c>
      <c r="C25">
        <f>BDP(A25,"YAS_ASW_SPREAD")</f>
        <v/>
      </c>
      <c r="D25">
        <f>BDP(A25,"YLD_YTM_MID")</f>
        <v/>
      </c>
    </row>
    <row r="26">
      <c r="B26">
        <f>BDP(A26,"PX_LAST")</f>
        <v/>
      </c>
      <c r="C26">
        <f>BDP(A26,"YAS_ASW_SPREAD")</f>
        <v/>
      </c>
      <c r="D26">
        <f>BDP(A26,"YLD_YTM_MID")</f>
        <v/>
      </c>
    </row>
    <row r="27">
      <c r="B27">
        <f>BDP(A27,"PX_LAST")</f>
        <v/>
      </c>
      <c r="C27">
        <f>BDP(A27,"YAS_ASW_SPREAD")</f>
        <v/>
      </c>
      <c r="D27">
        <f>BDP(A27,"YLD_YTM_MID")</f>
        <v/>
      </c>
    </row>
    <row r="28">
      <c r="B28">
        <f>BDP(A28,"PX_LAST")</f>
        <v/>
      </c>
      <c r="C28">
        <f>BDP(A28,"YAS_ASW_SPREAD")</f>
        <v/>
      </c>
      <c r="D28">
        <f>BDP(A28,"YLD_YTM_MID")</f>
        <v/>
      </c>
    </row>
    <row r="29">
      <c r="B29">
        <f>BDP(A29,"PX_LAST")</f>
        <v/>
      </c>
      <c r="C29">
        <f>BDP(A29,"YAS_ASW_SPREAD")</f>
        <v/>
      </c>
      <c r="D29">
        <f>BDP(A29,"YLD_YTM_MID")</f>
        <v/>
      </c>
    </row>
    <row r="30">
      <c r="B30">
        <f>BDP(A30,"PX_LAST")</f>
        <v/>
      </c>
      <c r="C30">
        <f>BDP(A30,"YAS_ASW_SPREAD")</f>
        <v/>
      </c>
      <c r="D30">
        <f>BDP(A30,"YLD_YTM_MID")</f>
        <v/>
      </c>
    </row>
    <row r="31">
      <c r="B31">
        <f>BDP(A31,"PX_LAST")</f>
        <v/>
      </c>
      <c r="C31">
        <f>BDP(A31,"YAS_ASW_SPREAD")</f>
        <v/>
      </c>
      <c r="D31">
        <f>BDP(A31,"YLD_YTM_MID")</f>
        <v/>
      </c>
    </row>
    <row r="32">
      <c r="B32">
        <f>BDP(A32,"PX_LAST")</f>
        <v/>
      </c>
      <c r="C32">
        <f>BDP(A32,"YAS_ASW_SPREAD")</f>
        <v/>
      </c>
      <c r="D32">
        <f>BDP(A32,"YLD_YTM_MID")</f>
        <v/>
      </c>
    </row>
    <row r="33">
      <c r="B33">
        <f>BDP(A33,"PX_LAST")</f>
        <v/>
      </c>
      <c r="C33">
        <f>BDP(A33,"YAS_ASW_SPREAD")</f>
        <v/>
      </c>
      <c r="D33">
        <f>BDP(A33,"YLD_YTM_MID")</f>
        <v/>
      </c>
    </row>
    <row r="34">
      <c r="B34">
        <f>BDP(A34,"PX_LAST")</f>
        <v/>
      </c>
      <c r="C34">
        <f>BDP(A34,"YAS_ASW_SPREAD")</f>
        <v/>
      </c>
      <c r="D34">
        <f>BDP(A34,"YLD_YTM_MID")</f>
        <v/>
      </c>
    </row>
    <row r="35">
      <c r="B35">
        <f>BDP(A35,"PX_LAST")</f>
        <v/>
      </c>
      <c r="C35">
        <f>BDP(A35,"YAS_ASW_SPREAD")</f>
        <v/>
      </c>
      <c r="D35">
        <f>BDP(A35,"YLD_YTM_MID")</f>
        <v/>
      </c>
    </row>
    <row r="36">
      <c r="B36">
        <f>BDP(A36,"PX_LAST")</f>
        <v/>
      </c>
      <c r="C36">
        <f>BDP(A36,"YAS_ASW_SPREAD")</f>
        <v/>
      </c>
      <c r="D36">
        <f>BDP(A36,"YLD_YTM_MID")</f>
        <v/>
      </c>
    </row>
    <row r="37">
      <c r="B37">
        <f>BDP(A37,"PX_LAST")</f>
        <v/>
      </c>
      <c r="C37">
        <f>BDP(A37,"YAS_ASW_SPREAD")</f>
        <v/>
      </c>
      <c r="D37">
        <f>BDP(A37,"YLD_YTM_MID")</f>
        <v/>
      </c>
    </row>
    <row r="38">
      <c r="B38">
        <f>BDP(A38,"PX_LAST")</f>
        <v/>
      </c>
      <c r="C38">
        <f>BDP(A38,"YAS_ASW_SPREAD")</f>
        <v/>
      </c>
      <c r="D38">
        <f>BDP(A38,"YLD_YTM_MID")</f>
        <v/>
      </c>
    </row>
    <row r="39">
      <c r="B39">
        <f>BDP(A39,"PX_LAST")</f>
        <v/>
      </c>
      <c r="C39">
        <f>BDP(A39,"YAS_ASW_SPREAD")</f>
        <v/>
      </c>
      <c r="D39">
        <f>BDP(A39,"YLD_YTM_MID")</f>
        <v/>
      </c>
    </row>
    <row r="40">
      <c r="B40">
        <f>BDP(A40,"PX_LAST")</f>
        <v/>
      </c>
      <c r="C40">
        <f>BDP(A40,"YAS_ASW_SPREAD")</f>
        <v/>
      </c>
      <c r="D40">
        <f>BDP(A40,"YLD_YTM_MID")</f>
        <v/>
      </c>
    </row>
    <row r="41">
      <c r="B41">
        <f>BDP(A41,"PX_LAST")</f>
        <v/>
      </c>
      <c r="C41">
        <f>BDP(A41,"YAS_ASW_SPREAD")</f>
        <v/>
      </c>
      <c r="D41">
        <f>BDP(A41,"YLD_YTM_MID")</f>
        <v/>
      </c>
    </row>
    <row r="42">
      <c r="B42">
        <f>BDP(A42,"PX_LAST")</f>
        <v/>
      </c>
      <c r="C42">
        <f>BDP(A42,"YAS_ASW_SPREAD")</f>
        <v/>
      </c>
      <c r="D42">
        <f>BDP(A42,"YLD_YTM_MID")</f>
        <v/>
      </c>
    </row>
    <row r="43">
      <c r="B43">
        <f>BDP(A43,"PX_LAST")</f>
        <v/>
      </c>
      <c r="C43">
        <f>BDP(A43,"YAS_ASW_SPREAD")</f>
        <v/>
      </c>
      <c r="D43">
        <f>BDP(A43,"YLD_YTM_MID")</f>
        <v/>
      </c>
    </row>
    <row r="44">
      <c r="B44">
        <f>BDP(A44,"PX_LAST")</f>
        <v/>
      </c>
      <c r="C44">
        <f>BDP(A44,"YAS_ASW_SPREAD")</f>
        <v/>
      </c>
      <c r="D44">
        <f>BDP(A44,"YLD_YTM_MID")</f>
        <v/>
      </c>
    </row>
    <row r="45">
      <c r="B45">
        <f>BDP(A45,"PX_LAST")</f>
        <v/>
      </c>
      <c r="C45">
        <f>BDP(A45,"YAS_ASW_SPREAD")</f>
        <v/>
      </c>
      <c r="D45">
        <f>BDP(A45,"YLD_YTM_MID")</f>
        <v/>
      </c>
    </row>
    <row r="46">
      <c r="B46">
        <f>BDP(A46,"PX_LAST")</f>
        <v/>
      </c>
      <c r="C46">
        <f>BDP(A46,"YAS_ASW_SPREAD")</f>
        <v/>
      </c>
      <c r="D46">
        <f>BDP(A46,"YLD_YTM_MID")</f>
        <v/>
      </c>
    </row>
    <row r="47">
      <c r="B47">
        <f>BDP(A47,"PX_LAST")</f>
        <v/>
      </c>
      <c r="C47">
        <f>BDP(A47,"YAS_ASW_SPREAD")</f>
        <v/>
      </c>
      <c r="D47">
        <f>BDP(A47,"YLD_YTM_MID")</f>
        <v/>
      </c>
    </row>
    <row r="48">
      <c r="B48">
        <f>BDP(A48,"PX_LAST")</f>
        <v/>
      </c>
      <c r="C48">
        <f>BDP(A48,"YAS_ASW_SPREAD")</f>
        <v/>
      </c>
      <c r="D48">
        <f>BDP(A48,"YLD_YTM_MID")</f>
        <v/>
      </c>
    </row>
    <row r="49">
      <c r="B49">
        <f>BDP(A49,"PX_LAST")</f>
        <v/>
      </c>
      <c r="C49">
        <f>BDP(A49,"YAS_ASW_SPREAD")</f>
        <v/>
      </c>
      <c r="D49">
        <f>BDP(A49,"YLD_YTM_MID")</f>
        <v/>
      </c>
    </row>
    <row r="50">
      <c r="B50">
        <f>BDP(A50,"PX_LAST")</f>
        <v/>
      </c>
      <c r="C50">
        <f>BDP(A50,"YAS_ASW_SPREAD")</f>
        <v/>
      </c>
      <c r="D50">
        <f>BDP(A50,"YLD_YTM_MID")</f>
        <v/>
      </c>
    </row>
    <row r="51">
      <c r="B51">
        <f>BDP(A51,"PX_LAST")</f>
        <v/>
      </c>
      <c r="C51">
        <f>BDP(A51,"YAS_ASW_SPREAD")</f>
        <v/>
      </c>
      <c r="D51">
        <f>BDP(A51,"YLD_YTM_MID")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</cols>
  <sheetData>
    <row r="1">
      <c r="A1" s="1" t="inlineStr">
        <is>
          <t>bbg_ticker</t>
        </is>
      </c>
      <c r="B1" s="1" t="inlineStr">
        <is>
          <t>name</t>
        </is>
      </c>
      <c r="C1" s="1" t="inlineStr">
        <is>
          <t>currency</t>
        </is>
      </c>
      <c r="D1" s="1" t="inlineStr">
        <is>
          <t>country</t>
        </is>
      </c>
      <c r="E1" s="1" t="inlineStr">
        <is>
          <t>coupon_rate</t>
        </is>
      </c>
      <c r="F1" s="1" t="inlineStr">
        <is>
          <t>coupon_frequency</t>
        </is>
      </c>
      <c r="G1" s="1" t="inlineStr">
        <is>
          <t>day_count_convention</t>
        </is>
      </c>
      <c r="H1" s="1" t="inlineStr">
        <is>
          <t>maturity_date</t>
        </is>
      </c>
      <c r="I1" s="1" t="inlineStr">
        <is>
          <t>first_coupon_date</t>
        </is>
      </c>
    </row>
    <row r="2">
      <c r="B2">
        <f>BDP(A2,"SECURITY_DES")</f>
        <v/>
      </c>
      <c r="C2">
        <f>BDP(A2,"CRNCY")</f>
        <v/>
      </c>
      <c r="D2">
        <f>BDP(A2,"CNTRY_OF_RISK")</f>
        <v/>
      </c>
      <c r="E2">
        <f>BDP(A2,"CPN")/100</f>
        <v/>
      </c>
      <c r="F2">
        <f>BDP(A2,"CPN_FREQ")</f>
        <v/>
      </c>
      <c r="G2">
        <f>BDP(A2,"DAY_CNT_DES")</f>
        <v/>
      </c>
      <c r="H2">
        <f>BDP(A2,"MATURITY")</f>
        <v/>
      </c>
      <c r="I2">
        <f>BDP(A2,"FIRST_CPN_DT")</f>
        <v/>
      </c>
    </row>
    <row r="3">
      <c r="B3">
        <f>BDP(A3,"SECURITY_DES")</f>
        <v/>
      </c>
      <c r="C3">
        <f>BDP(A3,"CRNCY")</f>
        <v/>
      </c>
      <c r="D3">
        <f>BDP(A3,"CNTRY_OF_RISK")</f>
        <v/>
      </c>
      <c r="E3">
        <f>BDP(A3,"CPN")/100</f>
        <v/>
      </c>
      <c r="F3">
        <f>BDP(A3,"CPN_FREQ")</f>
        <v/>
      </c>
      <c r="G3">
        <f>BDP(A3,"DAY_CNT_DES")</f>
        <v/>
      </c>
      <c r="H3">
        <f>BDP(A3,"MATURITY")</f>
        <v/>
      </c>
      <c r="I3">
        <f>BDP(A3,"FIRST_CPN_DT")</f>
        <v/>
      </c>
    </row>
    <row r="4">
      <c r="B4">
        <f>BDP(A4,"SECURITY_DES")</f>
        <v/>
      </c>
      <c r="C4">
        <f>BDP(A4,"CRNCY")</f>
        <v/>
      </c>
      <c r="D4">
        <f>BDP(A4,"CNTRY_OF_RISK")</f>
        <v/>
      </c>
      <c r="E4">
        <f>BDP(A4,"CPN")/100</f>
        <v/>
      </c>
      <c r="F4">
        <f>BDP(A4,"CPN_FREQ")</f>
        <v/>
      </c>
      <c r="G4">
        <f>BDP(A4,"DAY_CNT_DES")</f>
        <v/>
      </c>
      <c r="H4">
        <f>BDP(A4,"MATURITY")</f>
        <v/>
      </c>
      <c r="I4">
        <f>BDP(A4,"FIRST_CPN_DT")</f>
        <v/>
      </c>
    </row>
    <row r="5">
      <c r="B5">
        <f>BDP(A5,"SECURITY_DES")</f>
        <v/>
      </c>
      <c r="C5">
        <f>BDP(A5,"CRNCY")</f>
        <v/>
      </c>
      <c r="D5">
        <f>BDP(A5,"CNTRY_OF_RISK")</f>
        <v/>
      </c>
      <c r="E5">
        <f>BDP(A5,"CPN")/100</f>
        <v/>
      </c>
      <c r="F5">
        <f>BDP(A5,"CPN_FREQ")</f>
        <v/>
      </c>
      <c r="G5">
        <f>BDP(A5,"DAY_CNT_DES")</f>
        <v/>
      </c>
      <c r="H5">
        <f>BDP(A5,"MATURITY")</f>
        <v/>
      </c>
      <c r="I5">
        <f>BDP(A5,"FIRST_CPN_DT")</f>
        <v/>
      </c>
    </row>
    <row r="6">
      <c r="B6">
        <f>BDP(A6,"SECURITY_DES")</f>
        <v/>
      </c>
      <c r="C6">
        <f>BDP(A6,"CRNCY")</f>
        <v/>
      </c>
      <c r="D6">
        <f>BDP(A6,"CNTRY_OF_RISK")</f>
        <v/>
      </c>
      <c r="E6">
        <f>BDP(A6,"CPN")/100</f>
        <v/>
      </c>
      <c r="F6">
        <f>BDP(A6,"CPN_FREQ")</f>
        <v/>
      </c>
      <c r="G6">
        <f>BDP(A6,"DAY_CNT_DES")</f>
        <v/>
      </c>
      <c r="H6">
        <f>BDP(A6,"MATURITY")</f>
        <v/>
      </c>
      <c r="I6">
        <f>BDP(A6,"FIRST_CPN_DT")</f>
        <v/>
      </c>
    </row>
    <row r="7">
      <c r="B7">
        <f>BDP(A7,"SECURITY_DES")</f>
        <v/>
      </c>
      <c r="C7">
        <f>BDP(A7,"CRNCY")</f>
        <v/>
      </c>
      <c r="D7">
        <f>BDP(A7,"CNTRY_OF_RISK")</f>
        <v/>
      </c>
      <c r="E7">
        <f>BDP(A7,"CPN")/100</f>
        <v/>
      </c>
      <c r="F7">
        <f>BDP(A7,"CPN_FREQ")</f>
        <v/>
      </c>
      <c r="G7">
        <f>BDP(A7,"DAY_CNT_DES")</f>
        <v/>
      </c>
      <c r="H7">
        <f>BDP(A7,"MATURITY")</f>
        <v/>
      </c>
      <c r="I7">
        <f>BDP(A7,"FIRST_CPN_DT")</f>
        <v/>
      </c>
    </row>
    <row r="8">
      <c r="B8">
        <f>BDP(A8,"SECURITY_DES")</f>
        <v/>
      </c>
      <c r="C8">
        <f>BDP(A8,"CRNCY")</f>
        <v/>
      </c>
      <c r="D8">
        <f>BDP(A8,"CNTRY_OF_RISK")</f>
        <v/>
      </c>
      <c r="E8">
        <f>BDP(A8,"CPN")/100</f>
        <v/>
      </c>
      <c r="F8">
        <f>BDP(A8,"CPN_FREQ")</f>
        <v/>
      </c>
      <c r="G8">
        <f>BDP(A8,"DAY_CNT_DES")</f>
        <v/>
      </c>
      <c r="H8">
        <f>BDP(A8,"MATURITY")</f>
        <v/>
      </c>
      <c r="I8">
        <f>BDP(A8,"FIRST_CPN_DT")</f>
        <v/>
      </c>
    </row>
    <row r="9">
      <c r="B9">
        <f>BDP(A9,"SECURITY_DES")</f>
        <v/>
      </c>
      <c r="C9">
        <f>BDP(A9,"CRNCY")</f>
        <v/>
      </c>
      <c r="D9">
        <f>BDP(A9,"CNTRY_OF_RISK")</f>
        <v/>
      </c>
      <c r="E9">
        <f>BDP(A9,"CPN")/100</f>
        <v/>
      </c>
      <c r="F9">
        <f>BDP(A9,"CPN_FREQ")</f>
        <v/>
      </c>
      <c r="G9">
        <f>BDP(A9,"DAY_CNT_DES")</f>
        <v/>
      </c>
      <c r="H9">
        <f>BDP(A9,"MATURITY")</f>
        <v/>
      </c>
      <c r="I9">
        <f>BDP(A9,"FIRST_CPN_DT")</f>
        <v/>
      </c>
    </row>
    <row r="10">
      <c r="B10">
        <f>BDP(A10,"SECURITY_DES")</f>
        <v/>
      </c>
      <c r="C10">
        <f>BDP(A10,"CRNCY")</f>
        <v/>
      </c>
      <c r="D10">
        <f>BDP(A10,"CNTRY_OF_RISK")</f>
        <v/>
      </c>
      <c r="E10">
        <f>BDP(A10,"CPN")/100</f>
        <v/>
      </c>
      <c r="F10">
        <f>BDP(A10,"CPN_FREQ")</f>
        <v/>
      </c>
      <c r="G10">
        <f>BDP(A10,"DAY_CNT_DES")</f>
        <v/>
      </c>
      <c r="H10">
        <f>BDP(A10,"MATURITY")</f>
        <v/>
      </c>
      <c r="I10">
        <f>BDP(A10,"FIRST_CPN_DT")</f>
        <v/>
      </c>
    </row>
    <row r="11">
      <c r="B11">
        <f>BDP(A11,"SECURITY_DES")</f>
        <v/>
      </c>
      <c r="C11">
        <f>BDP(A11,"CRNCY")</f>
        <v/>
      </c>
      <c r="D11">
        <f>BDP(A11,"CNTRY_OF_RISK")</f>
        <v/>
      </c>
      <c r="E11">
        <f>BDP(A11,"CPN")/100</f>
        <v/>
      </c>
      <c r="F11">
        <f>BDP(A11,"CPN_FREQ")</f>
        <v/>
      </c>
      <c r="G11">
        <f>BDP(A11,"DAY_CNT_DES")</f>
        <v/>
      </c>
      <c r="H11">
        <f>BDP(A11,"MATURITY")</f>
        <v/>
      </c>
      <c r="I11">
        <f>BDP(A11,"FIRST_CPN_DT")</f>
        <v/>
      </c>
    </row>
    <row r="12">
      <c r="B12">
        <f>BDP(A12,"SECURITY_DES")</f>
        <v/>
      </c>
      <c r="C12">
        <f>BDP(A12,"CRNCY")</f>
        <v/>
      </c>
      <c r="D12">
        <f>BDP(A12,"CNTRY_OF_RISK")</f>
        <v/>
      </c>
      <c r="E12">
        <f>BDP(A12,"CPN")/100</f>
        <v/>
      </c>
      <c r="F12">
        <f>BDP(A12,"CPN_FREQ")</f>
        <v/>
      </c>
      <c r="G12">
        <f>BDP(A12,"DAY_CNT_DES")</f>
        <v/>
      </c>
      <c r="H12">
        <f>BDP(A12,"MATURITY")</f>
        <v/>
      </c>
      <c r="I12">
        <f>BDP(A12,"FIRST_CPN_DT")</f>
        <v/>
      </c>
    </row>
    <row r="13">
      <c r="B13">
        <f>BDP(A13,"SECURITY_DES")</f>
        <v/>
      </c>
      <c r="C13">
        <f>BDP(A13,"CRNCY")</f>
        <v/>
      </c>
      <c r="D13">
        <f>BDP(A13,"CNTRY_OF_RISK")</f>
        <v/>
      </c>
      <c r="E13">
        <f>BDP(A13,"CPN")/100</f>
        <v/>
      </c>
      <c r="F13">
        <f>BDP(A13,"CPN_FREQ")</f>
        <v/>
      </c>
      <c r="G13">
        <f>BDP(A13,"DAY_CNT_DES")</f>
        <v/>
      </c>
      <c r="H13">
        <f>BDP(A13,"MATURITY")</f>
        <v/>
      </c>
      <c r="I13">
        <f>BDP(A13,"FIRST_CPN_DT")</f>
        <v/>
      </c>
    </row>
    <row r="14">
      <c r="B14">
        <f>BDP(A14,"SECURITY_DES")</f>
        <v/>
      </c>
      <c r="C14">
        <f>BDP(A14,"CRNCY")</f>
        <v/>
      </c>
      <c r="D14">
        <f>BDP(A14,"CNTRY_OF_RISK")</f>
        <v/>
      </c>
      <c r="E14">
        <f>BDP(A14,"CPN")/100</f>
        <v/>
      </c>
      <c r="F14">
        <f>BDP(A14,"CPN_FREQ")</f>
        <v/>
      </c>
      <c r="G14">
        <f>BDP(A14,"DAY_CNT_DES")</f>
        <v/>
      </c>
      <c r="H14">
        <f>BDP(A14,"MATURITY")</f>
        <v/>
      </c>
      <c r="I14">
        <f>BDP(A14,"FIRST_CPN_DT")</f>
        <v/>
      </c>
    </row>
    <row r="15">
      <c r="B15">
        <f>BDP(A15,"SECURITY_DES")</f>
        <v/>
      </c>
      <c r="C15">
        <f>BDP(A15,"CRNCY")</f>
        <v/>
      </c>
      <c r="D15">
        <f>BDP(A15,"CNTRY_OF_RISK")</f>
        <v/>
      </c>
      <c r="E15">
        <f>BDP(A15,"CPN")/100</f>
        <v/>
      </c>
      <c r="F15">
        <f>BDP(A15,"CPN_FREQ")</f>
        <v/>
      </c>
      <c r="G15">
        <f>BDP(A15,"DAY_CNT_DES")</f>
        <v/>
      </c>
      <c r="H15">
        <f>BDP(A15,"MATURITY")</f>
        <v/>
      </c>
      <c r="I15">
        <f>BDP(A15,"FIRST_CPN_DT")</f>
        <v/>
      </c>
    </row>
    <row r="16">
      <c r="B16">
        <f>BDP(A16,"SECURITY_DES")</f>
        <v/>
      </c>
      <c r="C16">
        <f>BDP(A16,"CRNCY")</f>
        <v/>
      </c>
      <c r="D16">
        <f>BDP(A16,"CNTRY_OF_RISK")</f>
        <v/>
      </c>
      <c r="E16">
        <f>BDP(A16,"CPN")/100</f>
        <v/>
      </c>
      <c r="F16">
        <f>BDP(A16,"CPN_FREQ")</f>
        <v/>
      </c>
      <c r="G16">
        <f>BDP(A16,"DAY_CNT_DES")</f>
        <v/>
      </c>
      <c r="H16">
        <f>BDP(A16,"MATURITY")</f>
        <v/>
      </c>
      <c r="I16">
        <f>BDP(A16,"FIRST_CPN_DT")</f>
        <v/>
      </c>
    </row>
    <row r="17">
      <c r="B17">
        <f>BDP(A17,"SECURITY_DES")</f>
        <v/>
      </c>
      <c r="C17">
        <f>BDP(A17,"CRNCY")</f>
        <v/>
      </c>
      <c r="D17">
        <f>BDP(A17,"CNTRY_OF_RISK")</f>
        <v/>
      </c>
      <c r="E17">
        <f>BDP(A17,"CPN")/100</f>
        <v/>
      </c>
      <c r="F17">
        <f>BDP(A17,"CPN_FREQ")</f>
        <v/>
      </c>
      <c r="G17">
        <f>BDP(A17,"DAY_CNT_DES")</f>
        <v/>
      </c>
      <c r="H17">
        <f>BDP(A17,"MATURITY")</f>
        <v/>
      </c>
      <c r="I17">
        <f>BDP(A17,"FIRST_CPN_DT")</f>
        <v/>
      </c>
    </row>
    <row r="18">
      <c r="B18">
        <f>BDP(A18,"SECURITY_DES")</f>
        <v/>
      </c>
      <c r="C18">
        <f>BDP(A18,"CRNCY")</f>
        <v/>
      </c>
      <c r="D18">
        <f>BDP(A18,"CNTRY_OF_RISK")</f>
        <v/>
      </c>
      <c r="E18">
        <f>BDP(A18,"CPN")/100</f>
        <v/>
      </c>
      <c r="F18">
        <f>BDP(A18,"CPN_FREQ")</f>
        <v/>
      </c>
      <c r="G18">
        <f>BDP(A18,"DAY_CNT_DES")</f>
        <v/>
      </c>
      <c r="H18">
        <f>BDP(A18,"MATURITY")</f>
        <v/>
      </c>
      <c r="I18">
        <f>BDP(A18,"FIRST_CPN_DT")</f>
        <v/>
      </c>
    </row>
    <row r="19">
      <c r="B19">
        <f>BDP(A19,"SECURITY_DES")</f>
        <v/>
      </c>
      <c r="C19">
        <f>BDP(A19,"CRNCY")</f>
        <v/>
      </c>
      <c r="D19">
        <f>BDP(A19,"CNTRY_OF_RISK")</f>
        <v/>
      </c>
      <c r="E19">
        <f>BDP(A19,"CPN")/100</f>
        <v/>
      </c>
      <c r="F19">
        <f>BDP(A19,"CPN_FREQ")</f>
        <v/>
      </c>
      <c r="G19">
        <f>BDP(A19,"DAY_CNT_DES")</f>
        <v/>
      </c>
      <c r="H19">
        <f>BDP(A19,"MATURITY")</f>
        <v/>
      </c>
      <c r="I19">
        <f>BDP(A19,"FIRST_CPN_DT")</f>
        <v/>
      </c>
    </row>
    <row r="20">
      <c r="B20">
        <f>BDP(A20,"SECURITY_DES")</f>
        <v/>
      </c>
      <c r="C20">
        <f>BDP(A20,"CRNCY")</f>
        <v/>
      </c>
      <c r="D20">
        <f>BDP(A20,"CNTRY_OF_RISK")</f>
        <v/>
      </c>
      <c r="E20">
        <f>BDP(A20,"CPN")/100</f>
        <v/>
      </c>
      <c r="F20">
        <f>BDP(A20,"CPN_FREQ")</f>
        <v/>
      </c>
      <c r="G20">
        <f>BDP(A20,"DAY_CNT_DES")</f>
        <v/>
      </c>
      <c r="H20">
        <f>BDP(A20,"MATURITY")</f>
        <v/>
      </c>
      <c r="I20">
        <f>BDP(A20,"FIRST_CPN_DT")</f>
        <v/>
      </c>
    </row>
    <row r="21">
      <c r="B21">
        <f>BDP(A21,"SECURITY_DES")</f>
        <v/>
      </c>
      <c r="C21">
        <f>BDP(A21,"CRNCY")</f>
        <v/>
      </c>
      <c r="D21">
        <f>BDP(A21,"CNTRY_OF_RISK")</f>
        <v/>
      </c>
      <c r="E21">
        <f>BDP(A21,"CPN")/100</f>
        <v/>
      </c>
      <c r="F21">
        <f>BDP(A21,"CPN_FREQ")</f>
        <v/>
      </c>
      <c r="G21">
        <f>BDP(A21,"DAY_CNT_DES")</f>
        <v/>
      </c>
      <c r="H21">
        <f>BDP(A21,"MATURITY")</f>
        <v/>
      </c>
      <c r="I21">
        <f>BDP(A21,"FIRST_CPN_DT")</f>
        <v/>
      </c>
    </row>
    <row r="22">
      <c r="B22">
        <f>BDP(A22,"SECURITY_DES")</f>
        <v/>
      </c>
      <c r="C22">
        <f>BDP(A22,"CRNCY")</f>
        <v/>
      </c>
      <c r="D22">
        <f>BDP(A22,"CNTRY_OF_RISK")</f>
        <v/>
      </c>
      <c r="E22">
        <f>BDP(A22,"CPN")/100</f>
        <v/>
      </c>
      <c r="F22">
        <f>BDP(A22,"CPN_FREQ")</f>
        <v/>
      </c>
      <c r="G22">
        <f>BDP(A22,"DAY_CNT_DES")</f>
        <v/>
      </c>
      <c r="H22">
        <f>BDP(A22,"MATURITY")</f>
        <v/>
      </c>
      <c r="I22">
        <f>BDP(A22,"FIRST_CPN_DT")</f>
        <v/>
      </c>
    </row>
    <row r="23">
      <c r="B23">
        <f>BDP(A23,"SECURITY_DES")</f>
        <v/>
      </c>
      <c r="C23">
        <f>BDP(A23,"CRNCY")</f>
        <v/>
      </c>
      <c r="D23">
        <f>BDP(A23,"CNTRY_OF_RISK")</f>
        <v/>
      </c>
      <c r="E23">
        <f>BDP(A23,"CPN")/100</f>
        <v/>
      </c>
      <c r="F23">
        <f>BDP(A23,"CPN_FREQ")</f>
        <v/>
      </c>
      <c r="G23">
        <f>BDP(A23,"DAY_CNT_DES")</f>
        <v/>
      </c>
      <c r="H23">
        <f>BDP(A23,"MATURITY")</f>
        <v/>
      </c>
      <c r="I23">
        <f>BDP(A23,"FIRST_CPN_DT")</f>
        <v/>
      </c>
    </row>
    <row r="24">
      <c r="B24">
        <f>BDP(A24,"SECURITY_DES")</f>
        <v/>
      </c>
      <c r="C24">
        <f>BDP(A24,"CRNCY")</f>
        <v/>
      </c>
      <c r="D24">
        <f>BDP(A24,"CNTRY_OF_RISK")</f>
        <v/>
      </c>
      <c r="E24">
        <f>BDP(A24,"CPN")/100</f>
        <v/>
      </c>
      <c r="F24">
        <f>BDP(A24,"CPN_FREQ")</f>
        <v/>
      </c>
      <c r="G24">
        <f>BDP(A24,"DAY_CNT_DES")</f>
        <v/>
      </c>
      <c r="H24">
        <f>BDP(A24,"MATURITY")</f>
        <v/>
      </c>
      <c r="I24">
        <f>BDP(A24,"FIRST_CPN_DT")</f>
        <v/>
      </c>
    </row>
    <row r="25">
      <c r="B25">
        <f>BDP(A25,"SECURITY_DES")</f>
        <v/>
      </c>
      <c r="C25">
        <f>BDP(A25,"CRNCY")</f>
        <v/>
      </c>
      <c r="D25">
        <f>BDP(A25,"CNTRY_OF_RISK")</f>
        <v/>
      </c>
      <c r="E25">
        <f>BDP(A25,"CPN")/100</f>
        <v/>
      </c>
      <c r="F25">
        <f>BDP(A25,"CPN_FREQ")</f>
        <v/>
      </c>
      <c r="G25">
        <f>BDP(A25,"DAY_CNT_DES")</f>
        <v/>
      </c>
      <c r="H25">
        <f>BDP(A25,"MATURITY")</f>
        <v/>
      </c>
      <c r="I25">
        <f>BDP(A25,"FIRST_CPN_DT")</f>
        <v/>
      </c>
    </row>
    <row r="26">
      <c r="B26">
        <f>BDP(A26,"SECURITY_DES")</f>
        <v/>
      </c>
      <c r="C26">
        <f>BDP(A26,"CRNCY")</f>
        <v/>
      </c>
      <c r="D26">
        <f>BDP(A26,"CNTRY_OF_RISK")</f>
        <v/>
      </c>
      <c r="E26">
        <f>BDP(A26,"CPN")/100</f>
        <v/>
      </c>
      <c r="F26">
        <f>BDP(A26,"CPN_FREQ")</f>
        <v/>
      </c>
      <c r="G26">
        <f>BDP(A26,"DAY_CNT_DES")</f>
        <v/>
      </c>
      <c r="H26">
        <f>BDP(A26,"MATURITY")</f>
        <v/>
      </c>
      <c r="I26">
        <f>BDP(A26,"FIRST_CPN_DT")</f>
        <v/>
      </c>
    </row>
    <row r="27">
      <c r="B27">
        <f>BDP(A27,"SECURITY_DES")</f>
        <v/>
      </c>
      <c r="C27">
        <f>BDP(A27,"CRNCY")</f>
        <v/>
      </c>
      <c r="D27">
        <f>BDP(A27,"CNTRY_OF_RISK")</f>
        <v/>
      </c>
      <c r="E27">
        <f>BDP(A27,"CPN")/100</f>
        <v/>
      </c>
      <c r="F27">
        <f>BDP(A27,"CPN_FREQ")</f>
        <v/>
      </c>
      <c r="G27">
        <f>BDP(A27,"DAY_CNT_DES")</f>
        <v/>
      </c>
      <c r="H27">
        <f>BDP(A27,"MATURITY")</f>
        <v/>
      </c>
      <c r="I27">
        <f>BDP(A27,"FIRST_CPN_DT")</f>
        <v/>
      </c>
    </row>
    <row r="28">
      <c r="B28">
        <f>BDP(A28,"SECURITY_DES")</f>
        <v/>
      </c>
      <c r="C28">
        <f>BDP(A28,"CRNCY")</f>
        <v/>
      </c>
      <c r="D28">
        <f>BDP(A28,"CNTRY_OF_RISK")</f>
        <v/>
      </c>
      <c r="E28">
        <f>BDP(A28,"CPN")/100</f>
        <v/>
      </c>
      <c r="F28">
        <f>BDP(A28,"CPN_FREQ")</f>
        <v/>
      </c>
      <c r="G28">
        <f>BDP(A28,"DAY_CNT_DES")</f>
        <v/>
      </c>
      <c r="H28">
        <f>BDP(A28,"MATURITY")</f>
        <v/>
      </c>
      <c r="I28">
        <f>BDP(A28,"FIRST_CPN_DT")</f>
        <v/>
      </c>
    </row>
    <row r="29">
      <c r="B29">
        <f>BDP(A29,"SECURITY_DES")</f>
        <v/>
      </c>
      <c r="C29">
        <f>BDP(A29,"CRNCY")</f>
        <v/>
      </c>
      <c r="D29">
        <f>BDP(A29,"CNTRY_OF_RISK")</f>
        <v/>
      </c>
      <c r="E29">
        <f>BDP(A29,"CPN")/100</f>
        <v/>
      </c>
      <c r="F29">
        <f>BDP(A29,"CPN_FREQ")</f>
        <v/>
      </c>
      <c r="G29">
        <f>BDP(A29,"DAY_CNT_DES")</f>
        <v/>
      </c>
      <c r="H29">
        <f>BDP(A29,"MATURITY")</f>
        <v/>
      </c>
      <c r="I29">
        <f>BDP(A29,"FIRST_CPN_DT")</f>
        <v/>
      </c>
    </row>
    <row r="30">
      <c r="B30">
        <f>BDP(A30,"SECURITY_DES")</f>
        <v/>
      </c>
      <c r="C30">
        <f>BDP(A30,"CRNCY")</f>
        <v/>
      </c>
      <c r="D30">
        <f>BDP(A30,"CNTRY_OF_RISK")</f>
        <v/>
      </c>
      <c r="E30">
        <f>BDP(A30,"CPN")/100</f>
        <v/>
      </c>
      <c r="F30">
        <f>BDP(A30,"CPN_FREQ")</f>
        <v/>
      </c>
      <c r="G30">
        <f>BDP(A30,"DAY_CNT_DES")</f>
        <v/>
      </c>
      <c r="H30">
        <f>BDP(A30,"MATURITY")</f>
        <v/>
      </c>
      <c r="I30">
        <f>BDP(A30,"FIRST_CPN_DT")</f>
        <v/>
      </c>
    </row>
    <row r="31">
      <c r="B31">
        <f>BDP(A31,"SECURITY_DES")</f>
        <v/>
      </c>
      <c r="C31">
        <f>BDP(A31,"CRNCY")</f>
        <v/>
      </c>
      <c r="D31">
        <f>BDP(A31,"CNTRY_OF_RISK")</f>
        <v/>
      </c>
      <c r="E31">
        <f>BDP(A31,"CPN")/100</f>
        <v/>
      </c>
      <c r="F31">
        <f>BDP(A31,"CPN_FREQ")</f>
        <v/>
      </c>
      <c r="G31">
        <f>BDP(A31,"DAY_CNT_DES")</f>
        <v/>
      </c>
      <c r="H31">
        <f>BDP(A31,"MATURITY")</f>
        <v/>
      </c>
      <c r="I31">
        <f>BDP(A31,"FIRST_CPN_DT")</f>
        <v/>
      </c>
    </row>
    <row r="32">
      <c r="B32">
        <f>BDP(A32,"SECURITY_DES")</f>
        <v/>
      </c>
      <c r="C32">
        <f>BDP(A32,"CRNCY")</f>
        <v/>
      </c>
      <c r="D32">
        <f>BDP(A32,"CNTRY_OF_RISK")</f>
        <v/>
      </c>
      <c r="E32">
        <f>BDP(A32,"CPN")/100</f>
        <v/>
      </c>
      <c r="F32">
        <f>BDP(A32,"CPN_FREQ")</f>
        <v/>
      </c>
      <c r="G32">
        <f>BDP(A32,"DAY_CNT_DES")</f>
        <v/>
      </c>
      <c r="H32">
        <f>BDP(A32,"MATURITY")</f>
        <v/>
      </c>
      <c r="I32">
        <f>BDP(A32,"FIRST_CPN_DT")</f>
        <v/>
      </c>
    </row>
    <row r="33">
      <c r="B33">
        <f>BDP(A33,"SECURITY_DES")</f>
        <v/>
      </c>
      <c r="C33">
        <f>BDP(A33,"CRNCY")</f>
        <v/>
      </c>
      <c r="D33">
        <f>BDP(A33,"CNTRY_OF_RISK")</f>
        <v/>
      </c>
      <c r="E33">
        <f>BDP(A33,"CPN")/100</f>
        <v/>
      </c>
      <c r="F33">
        <f>BDP(A33,"CPN_FREQ")</f>
        <v/>
      </c>
      <c r="G33">
        <f>BDP(A33,"DAY_CNT_DES")</f>
        <v/>
      </c>
      <c r="H33">
        <f>BDP(A33,"MATURITY")</f>
        <v/>
      </c>
      <c r="I33">
        <f>BDP(A33,"FIRST_CPN_DT")</f>
        <v/>
      </c>
    </row>
    <row r="34">
      <c r="B34">
        <f>BDP(A34,"SECURITY_DES")</f>
        <v/>
      </c>
      <c r="C34">
        <f>BDP(A34,"CRNCY")</f>
        <v/>
      </c>
      <c r="D34">
        <f>BDP(A34,"CNTRY_OF_RISK")</f>
        <v/>
      </c>
      <c r="E34">
        <f>BDP(A34,"CPN")/100</f>
        <v/>
      </c>
      <c r="F34">
        <f>BDP(A34,"CPN_FREQ")</f>
        <v/>
      </c>
      <c r="G34">
        <f>BDP(A34,"DAY_CNT_DES")</f>
        <v/>
      </c>
      <c r="H34">
        <f>BDP(A34,"MATURITY")</f>
        <v/>
      </c>
      <c r="I34">
        <f>BDP(A34,"FIRST_CPN_DT")</f>
        <v/>
      </c>
    </row>
    <row r="35">
      <c r="B35">
        <f>BDP(A35,"SECURITY_DES")</f>
        <v/>
      </c>
      <c r="C35">
        <f>BDP(A35,"CRNCY")</f>
        <v/>
      </c>
      <c r="D35">
        <f>BDP(A35,"CNTRY_OF_RISK")</f>
        <v/>
      </c>
      <c r="E35">
        <f>BDP(A35,"CPN")/100</f>
        <v/>
      </c>
      <c r="F35">
        <f>BDP(A35,"CPN_FREQ")</f>
        <v/>
      </c>
      <c r="G35">
        <f>BDP(A35,"DAY_CNT_DES")</f>
        <v/>
      </c>
      <c r="H35">
        <f>BDP(A35,"MATURITY")</f>
        <v/>
      </c>
      <c r="I35">
        <f>BDP(A35,"FIRST_CPN_DT")</f>
        <v/>
      </c>
    </row>
    <row r="36">
      <c r="B36">
        <f>BDP(A36,"SECURITY_DES")</f>
        <v/>
      </c>
      <c r="C36">
        <f>BDP(A36,"CRNCY")</f>
        <v/>
      </c>
      <c r="D36">
        <f>BDP(A36,"CNTRY_OF_RISK")</f>
        <v/>
      </c>
      <c r="E36">
        <f>BDP(A36,"CPN")/100</f>
        <v/>
      </c>
      <c r="F36">
        <f>BDP(A36,"CPN_FREQ")</f>
        <v/>
      </c>
      <c r="G36">
        <f>BDP(A36,"DAY_CNT_DES")</f>
        <v/>
      </c>
      <c r="H36">
        <f>BDP(A36,"MATURITY")</f>
        <v/>
      </c>
      <c r="I36">
        <f>BDP(A36,"FIRST_CPN_DT")</f>
        <v/>
      </c>
    </row>
    <row r="37">
      <c r="B37">
        <f>BDP(A37,"SECURITY_DES")</f>
        <v/>
      </c>
      <c r="C37">
        <f>BDP(A37,"CRNCY")</f>
        <v/>
      </c>
      <c r="D37">
        <f>BDP(A37,"CNTRY_OF_RISK")</f>
        <v/>
      </c>
      <c r="E37">
        <f>BDP(A37,"CPN")/100</f>
        <v/>
      </c>
      <c r="F37">
        <f>BDP(A37,"CPN_FREQ")</f>
        <v/>
      </c>
      <c r="G37">
        <f>BDP(A37,"DAY_CNT_DES")</f>
        <v/>
      </c>
      <c r="H37">
        <f>BDP(A37,"MATURITY")</f>
        <v/>
      </c>
      <c r="I37">
        <f>BDP(A37,"FIRST_CPN_DT")</f>
        <v/>
      </c>
    </row>
    <row r="38">
      <c r="B38">
        <f>BDP(A38,"SECURITY_DES")</f>
        <v/>
      </c>
      <c r="C38">
        <f>BDP(A38,"CRNCY")</f>
        <v/>
      </c>
      <c r="D38">
        <f>BDP(A38,"CNTRY_OF_RISK")</f>
        <v/>
      </c>
      <c r="E38">
        <f>BDP(A38,"CPN")/100</f>
        <v/>
      </c>
      <c r="F38">
        <f>BDP(A38,"CPN_FREQ")</f>
        <v/>
      </c>
      <c r="G38">
        <f>BDP(A38,"DAY_CNT_DES")</f>
        <v/>
      </c>
      <c r="H38">
        <f>BDP(A38,"MATURITY")</f>
        <v/>
      </c>
      <c r="I38">
        <f>BDP(A38,"FIRST_CPN_DT")</f>
        <v/>
      </c>
    </row>
    <row r="39">
      <c r="B39">
        <f>BDP(A39,"SECURITY_DES")</f>
        <v/>
      </c>
      <c r="C39">
        <f>BDP(A39,"CRNCY")</f>
        <v/>
      </c>
      <c r="D39">
        <f>BDP(A39,"CNTRY_OF_RISK")</f>
        <v/>
      </c>
      <c r="E39">
        <f>BDP(A39,"CPN")/100</f>
        <v/>
      </c>
      <c r="F39">
        <f>BDP(A39,"CPN_FREQ")</f>
        <v/>
      </c>
      <c r="G39">
        <f>BDP(A39,"DAY_CNT_DES")</f>
        <v/>
      </c>
      <c r="H39">
        <f>BDP(A39,"MATURITY")</f>
        <v/>
      </c>
      <c r="I39">
        <f>BDP(A39,"FIRST_CPN_DT")</f>
        <v/>
      </c>
    </row>
    <row r="40">
      <c r="B40">
        <f>BDP(A40,"SECURITY_DES")</f>
        <v/>
      </c>
      <c r="C40">
        <f>BDP(A40,"CRNCY")</f>
        <v/>
      </c>
      <c r="D40">
        <f>BDP(A40,"CNTRY_OF_RISK")</f>
        <v/>
      </c>
      <c r="E40">
        <f>BDP(A40,"CPN")/100</f>
        <v/>
      </c>
      <c r="F40">
        <f>BDP(A40,"CPN_FREQ")</f>
        <v/>
      </c>
      <c r="G40">
        <f>BDP(A40,"DAY_CNT_DES")</f>
        <v/>
      </c>
      <c r="H40">
        <f>BDP(A40,"MATURITY")</f>
        <v/>
      </c>
      <c r="I40">
        <f>BDP(A40,"FIRST_CPN_DT")</f>
        <v/>
      </c>
    </row>
    <row r="41">
      <c r="B41">
        <f>BDP(A41,"SECURITY_DES")</f>
        <v/>
      </c>
      <c r="C41">
        <f>BDP(A41,"CRNCY")</f>
        <v/>
      </c>
      <c r="D41">
        <f>BDP(A41,"CNTRY_OF_RISK")</f>
        <v/>
      </c>
      <c r="E41">
        <f>BDP(A41,"CPN")/100</f>
        <v/>
      </c>
      <c r="F41">
        <f>BDP(A41,"CPN_FREQ")</f>
        <v/>
      </c>
      <c r="G41">
        <f>BDP(A41,"DAY_CNT_DES")</f>
        <v/>
      </c>
      <c r="H41">
        <f>BDP(A41,"MATURITY")</f>
        <v/>
      </c>
      <c r="I41">
        <f>BDP(A41,"FIRST_CPN_DT")</f>
        <v/>
      </c>
    </row>
    <row r="42">
      <c r="B42">
        <f>BDP(A42,"SECURITY_DES")</f>
        <v/>
      </c>
      <c r="C42">
        <f>BDP(A42,"CRNCY")</f>
        <v/>
      </c>
      <c r="D42">
        <f>BDP(A42,"CNTRY_OF_RISK")</f>
        <v/>
      </c>
      <c r="E42">
        <f>BDP(A42,"CPN")/100</f>
        <v/>
      </c>
      <c r="F42">
        <f>BDP(A42,"CPN_FREQ")</f>
        <v/>
      </c>
      <c r="G42">
        <f>BDP(A42,"DAY_CNT_DES")</f>
        <v/>
      </c>
      <c r="H42">
        <f>BDP(A42,"MATURITY")</f>
        <v/>
      </c>
      <c r="I42">
        <f>BDP(A42,"FIRST_CPN_DT")</f>
        <v/>
      </c>
    </row>
    <row r="43">
      <c r="B43">
        <f>BDP(A43,"SECURITY_DES")</f>
        <v/>
      </c>
      <c r="C43">
        <f>BDP(A43,"CRNCY")</f>
        <v/>
      </c>
      <c r="D43">
        <f>BDP(A43,"CNTRY_OF_RISK")</f>
        <v/>
      </c>
      <c r="E43">
        <f>BDP(A43,"CPN")/100</f>
        <v/>
      </c>
      <c r="F43">
        <f>BDP(A43,"CPN_FREQ")</f>
        <v/>
      </c>
      <c r="G43">
        <f>BDP(A43,"DAY_CNT_DES")</f>
        <v/>
      </c>
      <c r="H43">
        <f>BDP(A43,"MATURITY")</f>
        <v/>
      </c>
      <c r="I43">
        <f>BDP(A43,"FIRST_CPN_DT")</f>
        <v/>
      </c>
    </row>
    <row r="44">
      <c r="B44">
        <f>BDP(A44,"SECURITY_DES")</f>
        <v/>
      </c>
      <c r="C44">
        <f>BDP(A44,"CRNCY")</f>
        <v/>
      </c>
      <c r="D44">
        <f>BDP(A44,"CNTRY_OF_RISK")</f>
        <v/>
      </c>
      <c r="E44">
        <f>BDP(A44,"CPN")/100</f>
        <v/>
      </c>
      <c r="F44">
        <f>BDP(A44,"CPN_FREQ")</f>
        <v/>
      </c>
      <c r="G44">
        <f>BDP(A44,"DAY_CNT_DES")</f>
        <v/>
      </c>
      <c r="H44">
        <f>BDP(A44,"MATURITY")</f>
        <v/>
      </c>
      <c r="I44">
        <f>BDP(A44,"FIRST_CPN_DT")</f>
        <v/>
      </c>
    </row>
    <row r="45">
      <c r="B45">
        <f>BDP(A45,"SECURITY_DES")</f>
        <v/>
      </c>
      <c r="C45">
        <f>BDP(A45,"CRNCY")</f>
        <v/>
      </c>
      <c r="D45">
        <f>BDP(A45,"CNTRY_OF_RISK")</f>
        <v/>
      </c>
      <c r="E45">
        <f>BDP(A45,"CPN")/100</f>
        <v/>
      </c>
      <c r="F45">
        <f>BDP(A45,"CPN_FREQ")</f>
        <v/>
      </c>
      <c r="G45">
        <f>BDP(A45,"DAY_CNT_DES")</f>
        <v/>
      </c>
      <c r="H45">
        <f>BDP(A45,"MATURITY")</f>
        <v/>
      </c>
      <c r="I45">
        <f>BDP(A45,"FIRST_CPN_DT")</f>
        <v/>
      </c>
    </row>
    <row r="46">
      <c r="B46">
        <f>BDP(A46,"SECURITY_DES")</f>
        <v/>
      </c>
      <c r="C46">
        <f>BDP(A46,"CRNCY")</f>
        <v/>
      </c>
      <c r="D46">
        <f>BDP(A46,"CNTRY_OF_RISK")</f>
        <v/>
      </c>
      <c r="E46">
        <f>BDP(A46,"CPN")/100</f>
        <v/>
      </c>
      <c r="F46">
        <f>BDP(A46,"CPN_FREQ")</f>
        <v/>
      </c>
      <c r="G46">
        <f>BDP(A46,"DAY_CNT_DES")</f>
        <v/>
      </c>
      <c r="H46">
        <f>BDP(A46,"MATURITY")</f>
        <v/>
      </c>
      <c r="I46">
        <f>BDP(A46,"FIRST_CPN_DT")</f>
        <v/>
      </c>
    </row>
    <row r="47">
      <c r="B47">
        <f>BDP(A47,"SECURITY_DES")</f>
        <v/>
      </c>
      <c r="C47">
        <f>BDP(A47,"CRNCY")</f>
        <v/>
      </c>
      <c r="D47">
        <f>BDP(A47,"CNTRY_OF_RISK")</f>
        <v/>
      </c>
      <c r="E47">
        <f>BDP(A47,"CPN")/100</f>
        <v/>
      </c>
      <c r="F47">
        <f>BDP(A47,"CPN_FREQ")</f>
        <v/>
      </c>
      <c r="G47">
        <f>BDP(A47,"DAY_CNT_DES")</f>
        <v/>
      </c>
      <c r="H47">
        <f>BDP(A47,"MATURITY")</f>
        <v/>
      </c>
      <c r="I47">
        <f>BDP(A47,"FIRST_CPN_DT")</f>
        <v/>
      </c>
    </row>
    <row r="48">
      <c r="B48">
        <f>BDP(A48,"SECURITY_DES")</f>
        <v/>
      </c>
      <c r="C48">
        <f>BDP(A48,"CRNCY")</f>
        <v/>
      </c>
      <c r="D48">
        <f>BDP(A48,"CNTRY_OF_RISK")</f>
        <v/>
      </c>
      <c r="E48">
        <f>BDP(A48,"CPN")/100</f>
        <v/>
      </c>
      <c r="F48">
        <f>BDP(A48,"CPN_FREQ")</f>
        <v/>
      </c>
      <c r="G48">
        <f>BDP(A48,"DAY_CNT_DES")</f>
        <v/>
      </c>
      <c r="H48">
        <f>BDP(A48,"MATURITY")</f>
        <v/>
      </c>
      <c r="I48">
        <f>BDP(A48,"FIRST_CPN_DT")</f>
        <v/>
      </c>
    </row>
    <row r="49">
      <c r="B49">
        <f>BDP(A49,"SECURITY_DES")</f>
        <v/>
      </c>
      <c r="C49">
        <f>BDP(A49,"CRNCY")</f>
        <v/>
      </c>
      <c r="D49">
        <f>BDP(A49,"CNTRY_OF_RISK")</f>
        <v/>
      </c>
      <c r="E49">
        <f>BDP(A49,"CPN")/100</f>
        <v/>
      </c>
      <c r="F49">
        <f>BDP(A49,"CPN_FREQ")</f>
        <v/>
      </c>
      <c r="G49">
        <f>BDP(A49,"DAY_CNT_DES")</f>
        <v/>
      </c>
      <c r="H49">
        <f>BDP(A49,"MATURITY")</f>
        <v/>
      </c>
      <c r="I49">
        <f>BDP(A49,"FIRST_CPN_DT")</f>
        <v/>
      </c>
    </row>
    <row r="50">
      <c r="B50">
        <f>BDP(A50,"SECURITY_DES")</f>
        <v/>
      </c>
      <c r="C50">
        <f>BDP(A50,"CRNCY")</f>
        <v/>
      </c>
      <c r="D50">
        <f>BDP(A50,"CNTRY_OF_RISK")</f>
        <v/>
      </c>
      <c r="E50">
        <f>BDP(A50,"CPN")/100</f>
        <v/>
      </c>
      <c r="F50">
        <f>BDP(A50,"CPN_FREQ")</f>
        <v/>
      </c>
      <c r="G50">
        <f>BDP(A50,"DAY_CNT_DES")</f>
        <v/>
      </c>
      <c r="H50">
        <f>BDP(A50,"MATURITY")</f>
        <v/>
      </c>
      <c r="I50">
        <f>BDP(A50,"FIRST_CPN_DT")</f>
        <v/>
      </c>
    </row>
    <row r="51">
      <c r="B51">
        <f>BDP(A51,"SECURITY_DES")</f>
        <v/>
      </c>
      <c r="C51">
        <f>BDP(A51,"CRNCY")</f>
        <v/>
      </c>
      <c r="D51">
        <f>BDP(A51,"CNTRY_OF_RISK")</f>
        <v/>
      </c>
      <c r="E51">
        <f>BDP(A51,"CPN")/100</f>
        <v/>
      </c>
      <c r="F51">
        <f>BDP(A51,"CPN_FREQ")</f>
        <v/>
      </c>
      <c r="G51">
        <f>BDP(A51,"DAY_CNT_DES")</f>
        <v/>
      </c>
      <c r="H51">
        <f>BDP(A51,"MATURITY")</f>
        <v/>
      </c>
      <c r="I51">
        <f>BDP(A51,"FIRST_CPN_DT")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22" customWidth="1" min="3" max="3"/>
    <col width="14" customWidth="1" min="4" max="4"/>
    <col width="22" customWidth="1" min="5" max="5"/>
    <col width="14" customWidth="1" min="6" max="6"/>
    <col width="22" customWidth="1" min="7" max="7"/>
    <col width="14" customWidth="1" min="8" max="8"/>
    <col width="22" customWidth="1" min="9" max="9"/>
    <col width="14" customWidth="1" min="10" max="10"/>
    <col width="22" customWidth="1" min="11" max="11"/>
    <col width="14" customWidth="1" min="12" max="12"/>
    <col width="22" customWidth="1" min="13" max="13"/>
    <col width="14" customWidth="1" min="14" max="14"/>
    <col width="22" customWidth="1" min="15" max="15"/>
    <col width="14" customWidth="1" min="16" max="16"/>
    <col width="22" customWidth="1" min="17" max="17"/>
    <col width="14" customWidth="1" min="18" max="18"/>
    <col width="22" customWidth="1" min="19" max="19"/>
    <col width="14" customWidth="1" min="20" max="20"/>
  </cols>
  <sheetData>
    <row r="1">
      <c r="A1" s="2" t="inlineStr">
        <is>
          <t>BBG Ticker</t>
        </is>
      </c>
    </row>
    <row r="2">
      <c r="A2" s="2" t="inlineStr">
        <is>
          <t>End Date (mm/dd/yyyy)</t>
        </is>
      </c>
      <c r="B2" s="2" t="inlineStr">
        <is>
          <t>PX_LAST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2026-06-11T20:24:27Z</dcterms:created>
  <dcterms:modified xsi:type="dcterms:W3CDTF">2026-06-11T20:24:27Z</dcterms:modified>
</cp:coreProperties>
</file>